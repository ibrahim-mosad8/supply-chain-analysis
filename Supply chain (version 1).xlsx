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1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2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2bo3isha\Desktop\datasetes\done\"/>
    </mc:Choice>
  </mc:AlternateContent>
  <xr:revisionPtr revIDLastSave="0" documentId="13_ncr:1_{0CEF039A-6E7A-4AD4-8962-31CA6773A99E}" xr6:coauthVersionLast="45" xr6:coauthVersionMax="45" xr10:uidLastSave="{00000000-0000-0000-0000-000000000000}"/>
  <bookViews>
    <workbookView xWindow="-120" yWindow="-120" windowWidth="20730" windowHeight="11160" firstSheet="23" activeTab="25" xr2:uid="{0049C527-8443-4B70-9F1E-2B5C9CC82436}"/>
  </bookViews>
  <sheets>
    <sheet name="Revenue Distribution by Product" sheetId="4" r:id="rId1"/>
    <sheet name="Sales Volume by SKU" sheetId="5" r:id="rId2"/>
    <sheet name="Average Price by Product Type" sheetId="6" r:id="rId3"/>
    <sheet name="Impact of Price on Products Sol" sheetId="7" r:id="rId4"/>
    <sheet name="Products Sold by Customer Demog" sheetId="9" r:id="rId5"/>
    <sheet name="Inventory Turnover Analysis by " sheetId="10" r:id="rId6"/>
    <sheet name="Stock Levels by SKU" sheetId="11" r:id="rId7"/>
    <sheet name="Revenue Distribution by Custome" sheetId="12" r:id="rId8"/>
    <sheet name="Average Lead Time by Supplier" sheetId="13" r:id="rId9"/>
    <sheet name="Production Volume by Supplier" sheetId="14" r:id="rId10"/>
    <sheet name="Costs by SKU" sheetId="16" r:id="rId11"/>
    <sheet name="Shipping Costs per Transportati" sheetId="19" r:id="rId12"/>
    <sheet name="Impact of Route on Shipping Tim" sheetId="20" r:id="rId13"/>
    <sheet name="Supplier Costs and Lead Time Ov" sheetId="23" r:id="rId14"/>
    <sheet name="supply_chain" sheetId="2" r:id="rId15"/>
    <sheet name="Revenue vs. Lead Time by SKU" sheetId="22" r:id="rId16"/>
    <sheet name="Shipping Costs and Times by Car" sheetId="21" r:id="rId17"/>
    <sheet name="Total Cost vs. Defect Rates" sheetId="18" r:id="rId18"/>
    <sheet name="Shipping and Lead Time Analysis" sheetId="15" r:id="rId19"/>
    <sheet name="Business question" sheetId="1" r:id="rId20"/>
    <sheet name="Descriptive statistics" sheetId="3" r:id="rId21"/>
    <sheet name="Sales &amp; Revenue Performance" sheetId="24" r:id="rId22"/>
    <sheet name="Inventory &amp; Demand Efficiency" sheetId="25" r:id="rId23"/>
    <sheet name="Supplier &amp; manufacturing perfor" sheetId="26" r:id="rId24"/>
    <sheet name="Logistic &amp; Transportation" sheetId="27" r:id="rId25"/>
    <sheet name="Cost, Quality &amp; Risk Analysis " sheetId="28" r:id="rId26"/>
  </sheets>
  <definedNames>
    <definedName name="_xlnm._FilterDatabase" localSheetId="21" hidden="1">'Sales &amp; Revenue Performance'!$U$18:$V$18</definedName>
    <definedName name="ExternalData_1" localSheetId="14" hidden="1">supply_chain!$A$1:$X$101</definedName>
  </definedNames>
  <calcPr calcId="191029"/>
  <pivotCaches>
    <pivotCache cacheId="14" r:id="rId27"/>
    <pivotCache cacheId="10" r:id="rId28"/>
    <pivotCache cacheId="13" r:id="rId29"/>
    <pivotCache cacheId="3" r:id="rId30"/>
    <pivotCache cacheId="16" r:id="rId3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3" l="1"/>
  <c r="G7" i="3"/>
  <c r="G19" i="3" l="1"/>
  <c r="G18" i="3"/>
  <c r="G9" i="3"/>
  <c r="G16" i="3"/>
  <c r="G28" i="3"/>
  <c r="G27" i="3"/>
  <c r="G26" i="3"/>
  <c r="G24" i="3"/>
  <c r="G25" i="3"/>
  <c r="G22" i="3"/>
  <c r="G21" i="3"/>
  <c r="G20" i="3"/>
  <c r="I4" i="3"/>
  <c r="I3" i="3"/>
  <c r="G3" i="3"/>
  <c r="G4" i="3"/>
  <c r="G5" i="3"/>
  <c r="G13" i="3"/>
  <c r="G14" i="3"/>
  <c r="G15" i="3"/>
  <c r="W103" i="2" a="1"/>
  <c r="W103" i="2" s="1"/>
  <c r="V103" i="2" a="1"/>
  <c r="V103" i="2" s="1"/>
  <c r="T103" i="2" a="1"/>
  <c r="T103" i="2" s="1"/>
  <c r="O103" i="2" a="1"/>
  <c r="O103" i="2" s="1"/>
  <c r="N103" i="2" a="1"/>
  <c r="N103" i="2" s="1"/>
  <c r="L103" i="2" a="1"/>
  <c r="L103" i="2" s="1"/>
  <c r="G104" i="2" a="1"/>
  <c r="G104" i="2" s="1"/>
  <c r="B105" i="2" a="1"/>
  <c r="B105" i="2" s="1"/>
  <c r="A105" i="2" a="1"/>
  <c r="A105" i="2" s="1"/>
  <c r="AD2" i="2" l="1" a="1"/>
  <c r="AD2" i="2" s="1"/>
  <c r="D15" i="3"/>
  <c r="AC2" i="2" a="1"/>
  <c r="AC2" i="2" s="1"/>
  <c r="AB2" i="2" l="1" a="1"/>
  <c r="AB2" i="2" s="1"/>
  <c r="AA2" i="2" a="1"/>
  <c r="AA2" i="2" s="1"/>
  <c r="Z2" i="2" a="1"/>
  <c r="Z2" i="2" s="1"/>
  <c r="Y2" i="2" a="1"/>
  <c r="Y2" i="2" s="1"/>
  <c r="G8" i="3" s="1"/>
  <c r="D5" i="3"/>
  <c r="D12" i="3"/>
  <c r="D11" i="3"/>
  <c r="B7" i="3"/>
  <c r="D10" i="3"/>
  <c r="B24" i="3"/>
  <c r="B22" i="3"/>
  <c r="B15" i="3" l="1"/>
  <c r="B11" i="3"/>
  <c r="B10" i="3"/>
  <c r="B8" i="3"/>
  <c r="B6" i="3"/>
  <c r="B5" i="3"/>
  <c r="B20" i="3"/>
  <c r="B19" i="3"/>
  <c r="B17" i="3"/>
  <c r="B4" i="3"/>
  <c r="D4" i="3" s="1"/>
  <c r="B12" i="3" l="1"/>
  <c r="B13" i="3" s="1"/>
  <c r="B1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6ED39B-6925-461D-BFE6-ED3BB8C2CDF8}" keepAlive="1" name="Query - supply_chain_data" description="Connection to the 'supply_chain_data' query in the workbook." type="5" refreshedVersion="6" background="1" saveData="1">
    <dbPr connection="Provider=Microsoft.Mashup.OleDb.1;Data Source=$Workbook$;Location=supply_chain_data;Extended Properties=&quot;&quot;" command="SELECT * FROM [supply_chain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<sst xmlns="http://schemas.openxmlformats.org/spreadsheetml/2006/main" count="1508" uniqueCount="263">
  <si>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</si>
  <si>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</si>
  <si>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</si>
  <si>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</si>
  <si>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</si>
  <si>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</si>
  <si>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</si>
  <si>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</si>
  <si>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</si>
  <si>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</si>
  <si>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</si>
  <si>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</si>
  <si>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</si>
  <si>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</si>
  <si>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</si>
  <si>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</si>
  <si>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</si>
  <si>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</si>
  <si>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</si>
  <si>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</si>
  <si>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</si>
  <si>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</si>
  <si>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</si>
  <si>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</si>
  <si>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</si>
  <si>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</si>
  <si>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</si>
  <si>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</si>
  <si>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</si>
  <si>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</si>
  <si>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</si>
  <si>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</si>
  <si>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</si>
  <si>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</si>
  <si>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</si>
  <si>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</si>
  <si>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</si>
  <si>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</si>
  <si>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</si>
  <si>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</si>
  <si>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</si>
  <si>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</si>
  <si>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</si>
  <si>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</si>
  <si>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</si>
  <si>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</si>
  <si>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</si>
  <si>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</si>
  <si>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</si>
  <si>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</si>
  <si>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</si>
  <si>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</si>
  <si>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</si>
  <si>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</si>
  <si>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</si>
  <si>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</si>
  <si>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</si>
  <si>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</si>
  <si>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</si>
  <si>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</si>
  <si>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</si>
  <si>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</si>
  <si>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</si>
  <si>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</si>
  <si>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</si>
  <si>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</si>
  <si>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</si>
  <si>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</si>
  <si>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</si>
  <si>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</si>
  <si>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</si>
  <si>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</si>
  <si>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</si>
  <si>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</si>
  <si>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</si>
  <si>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</si>
  <si>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</si>
  <si>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</si>
  <si>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</si>
  <si>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</si>
  <si>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</si>
  <si>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</si>
  <si>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</si>
  <si>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</si>
  <si>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</si>
  <si>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</si>
  <si>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</si>
  <si>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</si>
  <si>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</si>
  <si>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</si>
  <si>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</si>
  <si>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</si>
  <si>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</si>
  <si>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</si>
  <si>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</si>
  <si>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</si>
  <si>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</si>
  <si>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</si>
  <si>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</si>
  <si>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</si>
  <si>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</si>
  <si>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</si>
  <si>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</si>
  <si>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</si>
  <si>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</si>
  <si>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</si>
  <si>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</si>
  <si>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</si>
  <si>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</si>
  <si>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</si>
  <si>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</si>
  <si>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</si>
  <si>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</si>
  <si>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</si>
  <si>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</si>
  <si>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</si>
  <si>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</si>
  <si>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</si>
  <si>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</si>
  <si>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</si>
  <si>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</si>
  <si>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</si>
  <si>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</si>
  <si>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</si>
  <si>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</si>
  <si>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</si>
  <si>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</si>
  <si>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</si>
  <si>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</si>
  <si>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</si>
  <si>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</si>
  <si>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</si>
  <si>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</si>
  <si>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</si>
  <si>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</si>
  <si>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</si>
  <si>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</si>
  <si>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</si>
  <si>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</si>
  <si>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</si>
  <si>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</si>
  <si>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</si>
  <si>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</si>
  <si>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</si>
  <si>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</si>
  <si>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</si>
  <si>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</si>
  <si>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</si>
  <si>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</si>
  <si>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</si>
  <si>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</si>
  <si>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</si>
  <si>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</si>
  <si>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 xml:space="preserve">Business Question </t>
  </si>
  <si>
    <t>which product typyes generate the highest total revenue?</t>
  </si>
  <si>
    <t>what are the top 10 SKUs by number of products sold?</t>
  </si>
  <si>
    <t>which SKUs have high prices but low sales volume?</t>
  </si>
  <si>
    <t>what is the average selling price per product type?</t>
  </si>
  <si>
    <t>which product contribute the most to total revenue?</t>
  </si>
  <si>
    <t>how many SKUs are currently out of stock?</t>
  </si>
  <si>
    <t>which product are at risk of stockout based on current stock levels and sales?</t>
  </si>
  <si>
    <t>what is the inventory turnover ratio for each SKU?</t>
  </si>
  <si>
    <t>which products have excess inventory compared to their sales?</t>
  </si>
  <si>
    <t>what is the reorder point for each SKU?</t>
  </si>
  <si>
    <t>which customer segment generates the highest revenue?</t>
  </si>
  <si>
    <t>how do sales volumes differ across customer demographics?</t>
  </si>
  <si>
    <t>which product are most popular among each customer segment?</t>
  </si>
  <si>
    <t>is there a relationship between customer demographics and product availability issues?</t>
  </si>
  <si>
    <t>whish suppliers have the longest average lead times?</t>
  </si>
  <si>
    <t>which suppliers have the highest defect rates?</t>
  </si>
  <si>
    <t>which suppliers provide the lowest total cost per unit?</t>
  </si>
  <si>
    <t>how does supplier location impact lead time and shipping cost?</t>
  </si>
  <si>
    <t>what is the manufacturing efficiency for each plant or product?</t>
  </si>
  <si>
    <t>which products have the highest manufacturing cost per unit?</t>
  </si>
  <si>
    <t>what percentage of production fails quality inspection?</t>
  </si>
  <si>
    <t>how do defect rates affect total supply chain costs?</t>
  </si>
  <si>
    <t>which transportation mode has the lowest average shipping cost?</t>
  </si>
  <si>
    <t>which routes have the longest shipping times?</t>
  </si>
  <si>
    <t>which shipping carriers provide the best balance between cost and delivery time?</t>
  </si>
  <si>
    <t>what is the total supply chain cost per SKU?</t>
  </si>
  <si>
    <t>which SKUs generate high revenue but suffer from long lead times?</t>
  </si>
  <si>
    <t>where are the main bottlenecks in the supply chain?</t>
  </si>
  <si>
    <t>which products are most exposed to revenue loss due to stockouts?</t>
  </si>
  <si>
    <t>id demand increases by 20% which parts of the supply chain will be most affected?</t>
  </si>
  <si>
    <t>stock level</t>
  </si>
  <si>
    <t>min</t>
  </si>
  <si>
    <t>max</t>
  </si>
  <si>
    <t>lead time</t>
  </si>
  <si>
    <t xml:space="preserve">Average </t>
  </si>
  <si>
    <t xml:space="preserve">standard devation </t>
  </si>
  <si>
    <t xml:space="preserve">median  </t>
  </si>
  <si>
    <t>shipping costs</t>
  </si>
  <si>
    <t>range</t>
  </si>
  <si>
    <t>percentiles</t>
  </si>
  <si>
    <t xml:space="preserve">first quartiles </t>
  </si>
  <si>
    <t>third quartiles</t>
  </si>
  <si>
    <t xml:space="preserve">TQR </t>
  </si>
  <si>
    <t>lower</t>
  </si>
  <si>
    <t>upper</t>
  </si>
  <si>
    <t>correlation(lead time, shipping costs)</t>
  </si>
  <si>
    <t>manufacturing costs</t>
  </si>
  <si>
    <t>variance</t>
  </si>
  <si>
    <t>compare means by group (Supplier 5)</t>
  </si>
  <si>
    <t>coefficient of variation(cv)</t>
  </si>
  <si>
    <t xml:space="preserve">________________________________ </t>
  </si>
  <si>
    <t>trimmed mean</t>
  </si>
  <si>
    <t>IQR</t>
  </si>
  <si>
    <t>skewness</t>
  </si>
  <si>
    <t>kurtosis</t>
  </si>
  <si>
    <t>uniqe supplier name</t>
  </si>
  <si>
    <t>Row Labels</t>
  </si>
  <si>
    <t>Grand Total</t>
  </si>
  <si>
    <t>Sum of Revenue generated</t>
  </si>
  <si>
    <t>Sum of Number of products sold</t>
  </si>
  <si>
    <t>Sum of Stock levels</t>
  </si>
  <si>
    <t>Average of Price</t>
  </si>
  <si>
    <t>inventory turnover per SKU</t>
  </si>
  <si>
    <t>Sum of inventory turnover per SKU</t>
  </si>
  <si>
    <t>(blank)</t>
  </si>
  <si>
    <t>Excess inventory products</t>
  </si>
  <si>
    <t>Average of Lead time</t>
  </si>
  <si>
    <t>Sum of Production volumes</t>
  </si>
  <si>
    <t>lowest cost per unit suppliers</t>
  </si>
  <si>
    <t xml:space="preserve">manufacturing efficiency </t>
  </si>
  <si>
    <t>costs</t>
  </si>
  <si>
    <t>heghest manufacturing cost per unit</t>
  </si>
  <si>
    <t>Sum of costs</t>
  </si>
  <si>
    <t>percentage failing ispection</t>
  </si>
  <si>
    <t>Sum of Shipping costs</t>
  </si>
  <si>
    <t>Average of Shipping costs</t>
  </si>
  <si>
    <t>Sum of Shipping times</t>
  </si>
  <si>
    <t>total supply chain cost per SKU</t>
  </si>
  <si>
    <t>Sum of Manufacturing costs</t>
  </si>
  <si>
    <t>Sum of Lead times</t>
  </si>
  <si>
    <t xml:space="preserve">total revenue generated </t>
  </si>
  <si>
    <t>total number of product sold</t>
  </si>
  <si>
    <t>KPIs</t>
  </si>
  <si>
    <t>sales &amp; revenue performace KPIs</t>
  </si>
  <si>
    <t>average selling price(ASP)</t>
  </si>
  <si>
    <t>inventory &amp; demand efficiency KPIs</t>
  </si>
  <si>
    <t>average stock levels</t>
  </si>
  <si>
    <t>revenue contribution %</t>
  </si>
  <si>
    <t xml:space="preserve">customer segment revenue share </t>
  </si>
  <si>
    <t>Supplier &amp; manufacturing performance</t>
  </si>
  <si>
    <t>Average Supplier Lead Time</t>
  </si>
  <si>
    <t>Supplier Costs Per Unit</t>
  </si>
  <si>
    <t>Production Share By Supplier</t>
  </si>
  <si>
    <t>Logistic &amp; Transportation</t>
  </si>
  <si>
    <t>Avrage Shipping Cost</t>
  </si>
  <si>
    <t>Sipping Cost Per Unit</t>
  </si>
  <si>
    <t>Average Shipping Time</t>
  </si>
  <si>
    <t>Cost Per Transportation Mode</t>
  </si>
  <si>
    <t xml:space="preserve">Lead Time Variability </t>
  </si>
  <si>
    <t xml:space="preserve">Cost, Quality &amp; Risk Analysis </t>
  </si>
  <si>
    <t>Total Cost</t>
  </si>
  <si>
    <t>Cost Per SKU</t>
  </si>
  <si>
    <t>Average Defect Rates</t>
  </si>
  <si>
    <t>Revenue at Risk (Due to Lead Time)</t>
  </si>
  <si>
    <t>Quality Pass Rate</t>
  </si>
  <si>
    <t>On Time Performance</t>
  </si>
  <si>
    <t>Slow-Moving Items %</t>
  </si>
  <si>
    <t>Total Stok on Hand</t>
  </si>
  <si>
    <t>Inventory Turnover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</si>
</sst>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3" x14ac:knownFonts="1">
    <font>
      <sz val="11"/>
      <color theme="1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2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696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3" borderId="0" xfId="0" applyFill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Slicer Style 1" pivot="0" table="0" count="1" xr9:uid="{349EC8E3-9847-4E43-A483-6375CF44E3F5}"/>
  </tableStyles>
  <colors>
    <mruColors>
      <color rgb="FF969696"/>
      <color rgb="FF5F5F5F"/>
    </mruColors>
  </colors>
  <extLst>
    <ext xmlns:x14="http://schemas.microsoft.com/office/spreadsheetml/2009/9/main" uri="{EB79DEF2-80B8-43e5-95BD-54CBDDF9020C}">
      <x14:slicerStyles defaultSlicerStyle="SlicerStyleLight1">
        <x14:slicerStyle name="Slicer Style 1">
          <x14:slicerStyleElements/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onnections" Target="connections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2.xml"/><Relationship Id="rId36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1.xml"/><Relationship Id="rId30" Type="http://schemas.openxmlformats.org/officeDocument/2006/relationships/pivotCacheDefinition" Target="pivotCache/pivotCacheDefinition4.xml"/><Relationship Id="rId35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1).xlsx]Revenue Distribution by Product!PivotTable1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200"/>
              <a:t>Revenue Distribution by Product Type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Distribution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Distribution by Product'!$A$4:$A$7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'Revenue Distribution by Product'!$B$4:$B$7</c:f>
              <c:numCache>
                <c:formatCode>General</c:formatCode>
                <c:ptCount val="3"/>
                <c:pt idx="0">
                  <c:v>161521.26999999996</c:v>
                </c:pt>
                <c:pt idx="1">
                  <c:v>174455.41999999998</c:v>
                </c:pt>
                <c:pt idx="2">
                  <c:v>241628.17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7-4B94-A73E-690596A2BA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03147880"/>
        <c:axId val="703143288"/>
      </c:barChart>
      <c:catAx>
        <c:axId val="703147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3143288"/>
        <c:crosses val="autoZero"/>
        <c:auto val="1"/>
        <c:lblAlgn val="ctr"/>
        <c:lblOffset val="100"/>
        <c:noMultiLvlLbl val="0"/>
      </c:catAx>
      <c:valAx>
        <c:axId val="703143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314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1).xlsx]Sales Volume by SKU!PivotTable3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200"/>
              <a:t>Sales Volume by SKU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Volume by SKU'!$B$3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'Sales Volume by SKU'!$A$4:$A$104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cat>
          <c:val>
            <c:numRef>
              <c:f>'Sales Volume by SKU'!$B$4:$B$104</c:f>
              <c:numCache>
                <c:formatCode>General</c:formatCode>
                <c:ptCount val="100"/>
                <c:pt idx="0">
                  <c:v>802</c:v>
                </c:pt>
                <c:pt idx="1">
                  <c:v>736</c:v>
                </c:pt>
                <c:pt idx="2">
                  <c:v>996</c:v>
                </c:pt>
                <c:pt idx="3">
                  <c:v>960</c:v>
                </c:pt>
                <c:pt idx="4">
                  <c:v>336</c:v>
                </c:pt>
                <c:pt idx="5">
                  <c:v>249</c:v>
                </c:pt>
                <c:pt idx="6">
                  <c:v>562</c:v>
                </c:pt>
                <c:pt idx="7">
                  <c:v>469</c:v>
                </c:pt>
                <c:pt idx="8">
                  <c:v>280</c:v>
                </c:pt>
                <c:pt idx="9">
                  <c:v>126</c:v>
                </c:pt>
                <c:pt idx="10">
                  <c:v>620</c:v>
                </c:pt>
                <c:pt idx="11">
                  <c:v>187</c:v>
                </c:pt>
                <c:pt idx="12">
                  <c:v>8</c:v>
                </c:pt>
                <c:pt idx="13">
                  <c:v>320</c:v>
                </c:pt>
                <c:pt idx="14">
                  <c:v>601</c:v>
                </c:pt>
                <c:pt idx="15">
                  <c:v>884</c:v>
                </c:pt>
                <c:pt idx="16">
                  <c:v>391</c:v>
                </c:pt>
                <c:pt idx="17">
                  <c:v>209</c:v>
                </c:pt>
                <c:pt idx="18">
                  <c:v>142</c:v>
                </c:pt>
                <c:pt idx="19">
                  <c:v>353</c:v>
                </c:pt>
                <c:pt idx="20">
                  <c:v>352</c:v>
                </c:pt>
                <c:pt idx="21">
                  <c:v>394</c:v>
                </c:pt>
                <c:pt idx="22">
                  <c:v>253</c:v>
                </c:pt>
                <c:pt idx="23">
                  <c:v>83</c:v>
                </c:pt>
                <c:pt idx="24">
                  <c:v>327</c:v>
                </c:pt>
                <c:pt idx="25">
                  <c:v>168</c:v>
                </c:pt>
                <c:pt idx="26">
                  <c:v>781</c:v>
                </c:pt>
                <c:pt idx="27">
                  <c:v>616</c:v>
                </c:pt>
                <c:pt idx="28">
                  <c:v>602</c:v>
                </c:pt>
                <c:pt idx="29">
                  <c:v>449</c:v>
                </c:pt>
                <c:pt idx="30">
                  <c:v>963</c:v>
                </c:pt>
                <c:pt idx="31">
                  <c:v>963</c:v>
                </c:pt>
                <c:pt idx="32">
                  <c:v>705</c:v>
                </c:pt>
                <c:pt idx="33">
                  <c:v>176</c:v>
                </c:pt>
                <c:pt idx="34">
                  <c:v>871</c:v>
                </c:pt>
                <c:pt idx="35">
                  <c:v>933</c:v>
                </c:pt>
                <c:pt idx="36">
                  <c:v>556</c:v>
                </c:pt>
                <c:pt idx="37">
                  <c:v>155</c:v>
                </c:pt>
                <c:pt idx="38">
                  <c:v>598</c:v>
                </c:pt>
                <c:pt idx="39">
                  <c:v>919</c:v>
                </c:pt>
                <c:pt idx="40">
                  <c:v>24</c:v>
                </c:pt>
                <c:pt idx="41">
                  <c:v>859</c:v>
                </c:pt>
                <c:pt idx="42">
                  <c:v>910</c:v>
                </c:pt>
                <c:pt idx="43">
                  <c:v>29</c:v>
                </c:pt>
                <c:pt idx="44">
                  <c:v>99</c:v>
                </c:pt>
                <c:pt idx="45">
                  <c:v>147</c:v>
                </c:pt>
                <c:pt idx="46">
                  <c:v>633</c:v>
                </c:pt>
                <c:pt idx="47">
                  <c:v>154</c:v>
                </c:pt>
                <c:pt idx="48">
                  <c:v>820</c:v>
                </c:pt>
                <c:pt idx="49">
                  <c:v>242</c:v>
                </c:pt>
                <c:pt idx="50">
                  <c:v>622</c:v>
                </c:pt>
                <c:pt idx="51">
                  <c:v>701</c:v>
                </c:pt>
                <c:pt idx="52">
                  <c:v>93</c:v>
                </c:pt>
                <c:pt idx="53">
                  <c:v>227</c:v>
                </c:pt>
                <c:pt idx="54">
                  <c:v>896</c:v>
                </c:pt>
                <c:pt idx="55">
                  <c:v>484</c:v>
                </c:pt>
                <c:pt idx="56">
                  <c:v>65</c:v>
                </c:pt>
                <c:pt idx="57">
                  <c:v>380</c:v>
                </c:pt>
                <c:pt idx="58">
                  <c:v>117</c:v>
                </c:pt>
                <c:pt idx="59">
                  <c:v>270</c:v>
                </c:pt>
                <c:pt idx="60">
                  <c:v>246</c:v>
                </c:pt>
                <c:pt idx="61">
                  <c:v>134</c:v>
                </c:pt>
                <c:pt idx="62">
                  <c:v>457</c:v>
                </c:pt>
                <c:pt idx="63">
                  <c:v>704</c:v>
                </c:pt>
                <c:pt idx="64">
                  <c:v>513</c:v>
                </c:pt>
                <c:pt idx="65">
                  <c:v>163</c:v>
                </c:pt>
                <c:pt idx="66">
                  <c:v>511</c:v>
                </c:pt>
                <c:pt idx="67">
                  <c:v>426</c:v>
                </c:pt>
                <c:pt idx="68">
                  <c:v>32</c:v>
                </c:pt>
                <c:pt idx="69">
                  <c:v>637</c:v>
                </c:pt>
                <c:pt idx="70">
                  <c:v>478</c:v>
                </c:pt>
                <c:pt idx="71">
                  <c:v>375</c:v>
                </c:pt>
                <c:pt idx="72">
                  <c:v>904</c:v>
                </c:pt>
                <c:pt idx="73">
                  <c:v>106</c:v>
                </c:pt>
                <c:pt idx="74">
                  <c:v>241</c:v>
                </c:pt>
                <c:pt idx="75">
                  <c:v>359</c:v>
                </c:pt>
                <c:pt idx="76">
                  <c:v>946</c:v>
                </c:pt>
                <c:pt idx="77">
                  <c:v>198</c:v>
                </c:pt>
                <c:pt idx="78">
                  <c:v>150</c:v>
                </c:pt>
                <c:pt idx="79">
                  <c:v>872</c:v>
                </c:pt>
                <c:pt idx="80">
                  <c:v>774</c:v>
                </c:pt>
                <c:pt idx="81">
                  <c:v>336</c:v>
                </c:pt>
                <c:pt idx="82">
                  <c:v>663</c:v>
                </c:pt>
                <c:pt idx="83">
                  <c:v>618</c:v>
                </c:pt>
                <c:pt idx="84">
                  <c:v>25</c:v>
                </c:pt>
                <c:pt idx="85">
                  <c:v>223</c:v>
                </c:pt>
                <c:pt idx="86">
                  <c:v>79</c:v>
                </c:pt>
                <c:pt idx="87">
                  <c:v>737</c:v>
                </c:pt>
                <c:pt idx="88">
                  <c:v>134</c:v>
                </c:pt>
                <c:pt idx="89">
                  <c:v>980</c:v>
                </c:pt>
                <c:pt idx="90">
                  <c:v>320</c:v>
                </c:pt>
                <c:pt idx="91">
                  <c:v>916</c:v>
                </c:pt>
                <c:pt idx="92">
                  <c:v>276</c:v>
                </c:pt>
                <c:pt idx="93">
                  <c:v>114</c:v>
                </c:pt>
                <c:pt idx="94">
                  <c:v>987</c:v>
                </c:pt>
                <c:pt idx="95">
                  <c:v>672</c:v>
                </c:pt>
                <c:pt idx="96">
                  <c:v>324</c:v>
                </c:pt>
                <c:pt idx="97">
                  <c:v>62</c:v>
                </c:pt>
                <c:pt idx="98">
                  <c:v>913</c:v>
                </c:pt>
                <c:pt idx="99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C-4852-A9B9-4D3A08101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98355760"/>
        <c:axId val="898358056"/>
      </c:barChart>
      <c:catAx>
        <c:axId val="89835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58056"/>
        <c:crosses val="autoZero"/>
        <c:auto val="1"/>
        <c:lblAlgn val="ctr"/>
        <c:lblOffset val="100"/>
        <c:noMultiLvlLbl val="0"/>
      </c:catAx>
      <c:valAx>
        <c:axId val="898358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5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1).xlsx]Average Price by Product Type!PivotTable4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200"/>
              <a:t>Average Price by Product Type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Price by Product Type'!$B$3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'Average Price by Product Type'!$A$4:$A$7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'Average Price by Product Type'!$B$4:$B$7</c:f>
              <c:numCache>
                <c:formatCode>General</c:formatCode>
                <c:ptCount val="3"/>
                <c:pt idx="0">
                  <c:v>57.361153846153847</c:v>
                </c:pt>
                <c:pt idx="1">
                  <c:v>46.014117647058818</c:v>
                </c:pt>
                <c:pt idx="2">
                  <c:v>47.259499999999989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0-4B02-A192-97C037CBC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03988016"/>
        <c:axId val="903982768"/>
      </c:barChart>
      <c:catAx>
        <c:axId val="9039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03982768"/>
        <c:crosses val="autoZero"/>
        <c:auto val="1"/>
        <c:lblAlgn val="ctr"/>
        <c:lblOffset val="100"/>
        <c:noMultiLvlLbl val="0"/>
      </c:catAx>
      <c:valAx>
        <c:axId val="903982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039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200"/>
              <a:t>Impact of Price on Products Sold by SKU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supply_chain!$C$1</c:f>
              <c:strCache>
                <c:ptCount val="1"/>
                <c:pt idx="0">
                  <c:v>Price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supply_chain!$B$2:$B$101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  <c:pt idx="6">
                  <c:v>SKU6</c:v>
                </c:pt>
                <c:pt idx="7">
                  <c:v>SKU7</c:v>
                </c:pt>
                <c:pt idx="8">
                  <c:v>SKU8</c:v>
                </c:pt>
                <c:pt idx="9">
                  <c:v>SKU9</c:v>
                </c:pt>
                <c:pt idx="10">
                  <c:v>SKU10</c:v>
                </c:pt>
                <c:pt idx="11">
                  <c:v>SKU11</c:v>
                </c:pt>
                <c:pt idx="12">
                  <c:v>SKU12</c:v>
                </c:pt>
                <c:pt idx="13">
                  <c:v>SKU13</c:v>
                </c:pt>
                <c:pt idx="14">
                  <c:v>SKU14</c:v>
                </c:pt>
                <c:pt idx="15">
                  <c:v>SKU15</c:v>
                </c:pt>
                <c:pt idx="16">
                  <c:v>SKU16</c:v>
                </c:pt>
                <c:pt idx="17">
                  <c:v>SKU17</c:v>
                </c:pt>
                <c:pt idx="18">
                  <c:v>SKU18</c:v>
                </c:pt>
                <c:pt idx="19">
                  <c:v>SKU19</c:v>
                </c:pt>
                <c:pt idx="20">
                  <c:v>SKU20</c:v>
                </c:pt>
                <c:pt idx="21">
                  <c:v>SKU21</c:v>
                </c:pt>
                <c:pt idx="22">
                  <c:v>SKU22</c:v>
                </c:pt>
                <c:pt idx="23">
                  <c:v>SKU23</c:v>
                </c:pt>
                <c:pt idx="24">
                  <c:v>SKU24</c:v>
                </c:pt>
                <c:pt idx="25">
                  <c:v>SKU25</c:v>
                </c:pt>
                <c:pt idx="26">
                  <c:v>SKU26</c:v>
                </c:pt>
                <c:pt idx="27">
                  <c:v>SKU27</c:v>
                </c:pt>
                <c:pt idx="28">
                  <c:v>SKU28</c:v>
                </c:pt>
                <c:pt idx="29">
                  <c:v>SKU29</c:v>
                </c:pt>
                <c:pt idx="30">
                  <c:v>SKU30</c:v>
                </c:pt>
                <c:pt idx="31">
                  <c:v>SKU31</c:v>
                </c:pt>
                <c:pt idx="32">
                  <c:v>SKU32</c:v>
                </c:pt>
                <c:pt idx="33">
                  <c:v>SKU33</c:v>
                </c:pt>
                <c:pt idx="34">
                  <c:v>SKU34</c:v>
                </c:pt>
                <c:pt idx="35">
                  <c:v>SKU35</c:v>
                </c:pt>
                <c:pt idx="36">
                  <c:v>SKU36</c:v>
                </c:pt>
                <c:pt idx="37">
                  <c:v>SKU37</c:v>
                </c:pt>
                <c:pt idx="38">
                  <c:v>SKU38</c:v>
                </c:pt>
                <c:pt idx="39">
                  <c:v>SKU39</c:v>
                </c:pt>
                <c:pt idx="40">
                  <c:v>SKU40</c:v>
                </c:pt>
                <c:pt idx="41">
                  <c:v>SKU41</c:v>
                </c:pt>
                <c:pt idx="42">
                  <c:v>SKU42</c:v>
                </c:pt>
                <c:pt idx="43">
                  <c:v>SKU43</c:v>
                </c:pt>
                <c:pt idx="44">
                  <c:v>SKU44</c:v>
                </c:pt>
                <c:pt idx="45">
                  <c:v>SKU45</c:v>
                </c:pt>
                <c:pt idx="46">
                  <c:v>SKU46</c:v>
                </c:pt>
                <c:pt idx="47">
                  <c:v>SKU47</c:v>
                </c:pt>
                <c:pt idx="48">
                  <c:v>SKU48</c:v>
                </c:pt>
                <c:pt idx="49">
                  <c:v>SKU49</c:v>
                </c:pt>
                <c:pt idx="50">
                  <c:v>SKU50</c:v>
                </c:pt>
                <c:pt idx="51">
                  <c:v>SKU51</c:v>
                </c:pt>
                <c:pt idx="52">
                  <c:v>SKU52</c:v>
                </c:pt>
                <c:pt idx="53">
                  <c:v>SKU53</c:v>
                </c:pt>
                <c:pt idx="54">
                  <c:v>SKU54</c:v>
                </c:pt>
                <c:pt idx="55">
                  <c:v>SKU55</c:v>
                </c:pt>
                <c:pt idx="56">
                  <c:v>SKU56</c:v>
                </c:pt>
                <c:pt idx="57">
                  <c:v>SKU57</c:v>
                </c:pt>
                <c:pt idx="58">
                  <c:v>SKU58</c:v>
                </c:pt>
                <c:pt idx="59">
                  <c:v>SKU59</c:v>
                </c:pt>
                <c:pt idx="60">
                  <c:v>SKU60</c:v>
                </c:pt>
                <c:pt idx="61">
                  <c:v>SKU61</c:v>
                </c:pt>
                <c:pt idx="62">
                  <c:v>SKU62</c:v>
                </c:pt>
                <c:pt idx="63">
                  <c:v>SKU63</c:v>
                </c:pt>
                <c:pt idx="64">
                  <c:v>SKU64</c:v>
                </c:pt>
                <c:pt idx="65">
                  <c:v>SKU65</c:v>
                </c:pt>
                <c:pt idx="66">
                  <c:v>SKU66</c:v>
                </c:pt>
                <c:pt idx="67">
                  <c:v>SKU67</c:v>
                </c:pt>
                <c:pt idx="68">
                  <c:v>SKU68</c:v>
                </c:pt>
                <c:pt idx="69">
                  <c:v>SKU69</c:v>
                </c:pt>
                <c:pt idx="70">
                  <c:v>SKU70</c:v>
                </c:pt>
                <c:pt idx="71">
                  <c:v>SKU71</c:v>
                </c:pt>
                <c:pt idx="72">
                  <c:v>SKU72</c:v>
                </c:pt>
                <c:pt idx="73">
                  <c:v>SKU73</c:v>
                </c:pt>
                <c:pt idx="74">
                  <c:v>SKU74</c:v>
                </c:pt>
                <c:pt idx="75">
                  <c:v>SKU75</c:v>
                </c:pt>
                <c:pt idx="76">
                  <c:v>SKU76</c:v>
                </c:pt>
                <c:pt idx="77">
                  <c:v>SKU77</c:v>
                </c:pt>
                <c:pt idx="78">
                  <c:v>SKU78</c:v>
                </c:pt>
                <c:pt idx="79">
                  <c:v>SKU79</c:v>
                </c:pt>
                <c:pt idx="80">
                  <c:v>SKU80</c:v>
                </c:pt>
                <c:pt idx="81">
                  <c:v>SKU81</c:v>
                </c:pt>
                <c:pt idx="82">
                  <c:v>SKU82</c:v>
                </c:pt>
                <c:pt idx="83">
                  <c:v>SKU83</c:v>
                </c:pt>
                <c:pt idx="84">
                  <c:v>SKU84</c:v>
                </c:pt>
                <c:pt idx="85">
                  <c:v>SKU85</c:v>
                </c:pt>
                <c:pt idx="86">
                  <c:v>SKU86</c:v>
                </c:pt>
                <c:pt idx="87">
                  <c:v>SKU87</c:v>
                </c:pt>
                <c:pt idx="88">
                  <c:v>SKU88</c:v>
                </c:pt>
                <c:pt idx="89">
                  <c:v>SKU89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xVal>
          <c:yVal>
            <c:numRef>
              <c:f>supply_chain!$C$2:$C$101</c:f>
              <c:numCache>
                <c:formatCode>General</c:formatCode>
                <c:ptCount val="100"/>
                <c:pt idx="0">
                  <c:v>69.81</c:v>
                </c:pt>
                <c:pt idx="1">
                  <c:v>14.84</c:v>
                </c:pt>
                <c:pt idx="2">
                  <c:v>11.32</c:v>
                </c:pt>
                <c:pt idx="3">
                  <c:v>61.16</c:v>
                </c:pt>
                <c:pt idx="4">
                  <c:v>4.8099999999999996</c:v>
                </c:pt>
                <c:pt idx="5">
                  <c:v>1.7</c:v>
                </c:pt>
                <c:pt idx="6">
                  <c:v>4.08</c:v>
                </c:pt>
                <c:pt idx="7">
                  <c:v>42.96</c:v>
                </c:pt>
                <c:pt idx="8">
                  <c:v>68.72</c:v>
                </c:pt>
                <c:pt idx="9">
                  <c:v>64.02</c:v>
                </c:pt>
                <c:pt idx="10">
                  <c:v>15.71</c:v>
                </c:pt>
                <c:pt idx="11">
                  <c:v>90.64</c:v>
                </c:pt>
                <c:pt idx="12">
                  <c:v>71.209999999999994</c:v>
                </c:pt>
                <c:pt idx="13">
                  <c:v>16.16</c:v>
                </c:pt>
                <c:pt idx="14">
                  <c:v>99.17</c:v>
                </c:pt>
                <c:pt idx="15">
                  <c:v>36.99</c:v>
                </c:pt>
                <c:pt idx="16">
                  <c:v>7.55</c:v>
                </c:pt>
                <c:pt idx="17">
                  <c:v>81.459999999999994</c:v>
                </c:pt>
                <c:pt idx="18">
                  <c:v>36.44</c:v>
                </c:pt>
                <c:pt idx="19">
                  <c:v>51.12</c:v>
                </c:pt>
                <c:pt idx="20">
                  <c:v>96.34</c:v>
                </c:pt>
                <c:pt idx="21">
                  <c:v>84.89</c:v>
                </c:pt>
                <c:pt idx="22">
                  <c:v>27.68</c:v>
                </c:pt>
                <c:pt idx="23">
                  <c:v>4.32</c:v>
                </c:pt>
                <c:pt idx="24">
                  <c:v>4.16</c:v>
                </c:pt>
                <c:pt idx="25">
                  <c:v>39.630000000000003</c:v>
                </c:pt>
                <c:pt idx="26">
                  <c:v>97.45</c:v>
                </c:pt>
                <c:pt idx="27">
                  <c:v>92.56</c:v>
                </c:pt>
                <c:pt idx="28">
                  <c:v>2.4</c:v>
                </c:pt>
                <c:pt idx="29">
                  <c:v>63.45</c:v>
                </c:pt>
                <c:pt idx="30">
                  <c:v>8.02</c:v>
                </c:pt>
                <c:pt idx="31">
                  <c:v>50.85</c:v>
                </c:pt>
                <c:pt idx="32">
                  <c:v>79.209999999999994</c:v>
                </c:pt>
                <c:pt idx="33">
                  <c:v>64.8</c:v>
                </c:pt>
                <c:pt idx="34">
                  <c:v>37.47</c:v>
                </c:pt>
                <c:pt idx="35">
                  <c:v>84.96</c:v>
                </c:pt>
                <c:pt idx="36">
                  <c:v>9.81</c:v>
                </c:pt>
                <c:pt idx="37">
                  <c:v>23.4</c:v>
                </c:pt>
                <c:pt idx="38">
                  <c:v>52.08</c:v>
                </c:pt>
                <c:pt idx="39">
                  <c:v>19.13</c:v>
                </c:pt>
                <c:pt idx="40">
                  <c:v>80.540000000000006</c:v>
                </c:pt>
                <c:pt idx="41">
                  <c:v>99.11</c:v>
                </c:pt>
                <c:pt idx="42">
                  <c:v>46.53</c:v>
                </c:pt>
                <c:pt idx="43">
                  <c:v>11.74</c:v>
                </c:pt>
                <c:pt idx="44">
                  <c:v>51.36</c:v>
                </c:pt>
                <c:pt idx="45">
                  <c:v>33.78</c:v>
                </c:pt>
                <c:pt idx="46">
                  <c:v>27.08</c:v>
                </c:pt>
                <c:pt idx="47">
                  <c:v>95.71</c:v>
                </c:pt>
                <c:pt idx="48">
                  <c:v>76.040000000000006</c:v>
                </c:pt>
                <c:pt idx="49">
                  <c:v>78.900000000000006</c:v>
                </c:pt>
                <c:pt idx="50">
                  <c:v>14.2</c:v>
                </c:pt>
                <c:pt idx="51">
                  <c:v>26.7</c:v>
                </c:pt>
                <c:pt idx="52">
                  <c:v>98.03</c:v>
                </c:pt>
                <c:pt idx="53">
                  <c:v>30.34</c:v>
                </c:pt>
                <c:pt idx="54">
                  <c:v>31.15</c:v>
                </c:pt>
                <c:pt idx="55">
                  <c:v>79.86</c:v>
                </c:pt>
                <c:pt idx="56">
                  <c:v>20.99</c:v>
                </c:pt>
                <c:pt idx="57">
                  <c:v>49.26</c:v>
                </c:pt>
                <c:pt idx="58">
                  <c:v>59.84</c:v>
                </c:pt>
                <c:pt idx="59">
                  <c:v>63.83</c:v>
                </c:pt>
                <c:pt idx="60">
                  <c:v>17.03</c:v>
                </c:pt>
                <c:pt idx="61">
                  <c:v>52.03</c:v>
                </c:pt>
                <c:pt idx="62">
                  <c:v>72.8</c:v>
                </c:pt>
                <c:pt idx="63">
                  <c:v>13.02</c:v>
                </c:pt>
                <c:pt idx="64">
                  <c:v>89.63</c:v>
                </c:pt>
                <c:pt idx="65">
                  <c:v>33.700000000000003</c:v>
                </c:pt>
                <c:pt idx="66">
                  <c:v>26.03</c:v>
                </c:pt>
                <c:pt idx="67">
                  <c:v>87.76</c:v>
                </c:pt>
                <c:pt idx="68">
                  <c:v>37.93</c:v>
                </c:pt>
                <c:pt idx="69">
                  <c:v>54.87</c:v>
                </c:pt>
                <c:pt idx="70">
                  <c:v>47.91</c:v>
                </c:pt>
                <c:pt idx="71">
                  <c:v>6.38</c:v>
                </c:pt>
                <c:pt idx="72">
                  <c:v>90.2</c:v>
                </c:pt>
                <c:pt idx="73">
                  <c:v>83.85</c:v>
                </c:pt>
                <c:pt idx="74">
                  <c:v>3.17</c:v>
                </c:pt>
                <c:pt idx="75">
                  <c:v>93</c:v>
                </c:pt>
                <c:pt idx="76">
                  <c:v>69.11</c:v>
                </c:pt>
                <c:pt idx="77">
                  <c:v>57.45</c:v>
                </c:pt>
                <c:pt idx="78">
                  <c:v>6.31</c:v>
                </c:pt>
                <c:pt idx="79">
                  <c:v>57.06</c:v>
                </c:pt>
                <c:pt idx="80">
                  <c:v>91.13</c:v>
                </c:pt>
                <c:pt idx="81">
                  <c:v>72.819999999999993</c:v>
                </c:pt>
                <c:pt idx="82">
                  <c:v>17.03</c:v>
                </c:pt>
                <c:pt idx="83">
                  <c:v>68.91</c:v>
                </c:pt>
                <c:pt idx="84">
                  <c:v>89.1</c:v>
                </c:pt>
                <c:pt idx="85">
                  <c:v>76.959999999999994</c:v>
                </c:pt>
                <c:pt idx="86">
                  <c:v>20</c:v>
                </c:pt>
                <c:pt idx="87">
                  <c:v>80.41</c:v>
                </c:pt>
                <c:pt idx="88">
                  <c:v>75.27</c:v>
                </c:pt>
                <c:pt idx="89">
                  <c:v>97.76</c:v>
                </c:pt>
                <c:pt idx="90">
                  <c:v>13.88</c:v>
                </c:pt>
                <c:pt idx="91">
                  <c:v>62.11</c:v>
                </c:pt>
                <c:pt idx="92">
                  <c:v>47.71</c:v>
                </c:pt>
                <c:pt idx="93">
                  <c:v>69.290000000000006</c:v>
                </c:pt>
                <c:pt idx="94">
                  <c:v>3.04</c:v>
                </c:pt>
                <c:pt idx="95">
                  <c:v>77.900000000000006</c:v>
                </c:pt>
                <c:pt idx="96">
                  <c:v>24.42</c:v>
                </c:pt>
                <c:pt idx="97">
                  <c:v>3.53</c:v>
                </c:pt>
                <c:pt idx="98">
                  <c:v>19.75</c:v>
                </c:pt>
                <c:pt idx="99">
                  <c:v>68.52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04-4A9A-A503-CEC49DE27DB5}"/>
            </c:ext>
          </c:extLst>
        </c:ser>
        <c:ser>
          <c:idx val="1"/>
          <c:order val="1"/>
          <c:tx>
            <c:strRef>
              <c:f>supply_chain!$E$1</c:f>
              <c:strCache>
                <c:ptCount val="1"/>
                <c:pt idx="0">
                  <c:v>Number of products sold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supply_chain!$B$2:$B$101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  <c:pt idx="6">
                  <c:v>SKU6</c:v>
                </c:pt>
                <c:pt idx="7">
                  <c:v>SKU7</c:v>
                </c:pt>
                <c:pt idx="8">
                  <c:v>SKU8</c:v>
                </c:pt>
                <c:pt idx="9">
                  <c:v>SKU9</c:v>
                </c:pt>
                <c:pt idx="10">
                  <c:v>SKU10</c:v>
                </c:pt>
                <c:pt idx="11">
                  <c:v>SKU11</c:v>
                </c:pt>
                <c:pt idx="12">
                  <c:v>SKU12</c:v>
                </c:pt>
                <c:pt idx="13">
                  <c:v>SKU13</c:v>
                </c:pt>
                <c:pt idx="14">
                  <c:v>SKU14</c:v>
                </c:pt>
                <c:pt idx="15">
                  <c:v>SKU15</c:v>
                </c:pt>
                <c:pt idx="16">
                  <c:v>SKU16</c:v>
                </c:pt>
                <c:pt idx="17">
                  <c:v>SKU17</c:v>
                </c:pt>
                <c:pt idx="18">
                  <c:v>SKU18</c:v>
                </c:pt>
                <c:pt idx="19">
                  <c:v>SKU19</c:v>
                </c:pt>
                <c:pt idx="20">
                  <c:v>SKU20</c:v>
                </c:pt>
                <c:pt idx="21">
                  <c:v>SKU21</c:v>
                </c:pt>
                <c:pt idx="22">
                  <c:v>SKU22</c:v>
                </c:pt>
                <c:pt idx="23">
                  <c:v>SKU23</c:v>
                </c:pt>
                <c:pt idx="24">
                  <c:v>SKU24</c:v>
                </c:pt>
                <c:pt idx="25">
                  <c:v>SKU25</c:v>
                </c:pt>
                <c:pt idx="26">
                  <c:v>SKU26</c:v>
                </c:pt>
                <c:pt idx="27">
                  <c:v>SKU27</c:v>
                </c:pt>
                <c:pt idx="28">
                  <c:v>SKU28</c:v>
                </c:pt>
                <c:pt idx="29">
                  <c:v>SKU29</c:v>
                </c:pt>
                <c:pt idx="30">
                  <c:v>SKU30</c:v>
                </c:pt>
                <c:pt idx="31">
                  <c:v>SKU31</c:v>
                </c:pt>
                <c:pt idx="32">
                  <c:v>SKU32</c:v>
                </c:pt>
                <c:pt idx="33">
                  <c:v>SKU33</c:v>
                </c:pt>
                <c:pt idx="34">
                  <c:v>SKU34</c:v>
                </c:pt>
                <c:pt idx="35">
                  <c:v>SKU35</c:v>
                </c:pt>
                <c:pt idx="36">
                  <c:v>SKU36</c:v>
                </c:pt>
                <c:pt idx="37">
                  <c:v>SKU37</c:v>
                </c:pt>
                <c:pt idx="38">
                  <c:v>SKU38</c:v>
                </c:pt>
                <c:pt idx="39">
                  <c:v>SKU39</c:v>
                </c:pt>
                <c:pt idx="40">
                  <c:v>SKU40</c:v>
                </c:pt>
                <c:pt idx="41">
                  <c:v>SKU41</c:v>
                </c:pt>
                <c:pt idx="42">
                  <c:v>SKU42</c:v>
                </c:pt>
                <c:pt idx="43">
                  <c:v>SKU43</c:v>
                </c:pt>
                <c:pt idx="44">
                  <c:v>SKU44</c:v>
                </c:pt>
                <c:pt idx="45">
                  <c:v>SKU45</c:v>
                </c:pt>
                <c:pt idx="46">
                  <c:v>SKU46</c:v>
                </c:pt>
                <c:pt idx="47">
                  <c:v>SKU47</c:v>
                </c:pt>
                <c:pt idx="48">
                  <c:v>SKU48</c:v>
                </c:pt>
                <c:pt idx="49">
                  <c:v>SKU49</c:v>
                </c:pt>
                <c:pt idx="50">
                  <c:v>SKU50</c:v>
                </c:pt>
                <c:pt idx="51">
                  <c:v>SKU51</c:v>
                </c:pt>
                <c:pt idx="52">
                  <c:v>SKU52</c:v>
                </c:pt>
                <c:pt idx="53">
                  <c:v>SKU53</c:v>
                </c:pt>
                <c:pt idx="54">
                  <c:v>SKU54</c:v>
                </c:pt>
                <c:pt idx="55">
                  <c:v>SKU55</c:v>
                </c:pt>
                <c:pt idx="56">
                  <c:v>SKU56</c:v>
                </c:pt>
                <c:pt idx="57">
                  <c:v>SKU57</c:v>
                </c:pt>
                <c:pt idx="58">
                  <c:v>SKU58</c:v>
                </c:pt>
                <c:pt idx="59">
                  <c:v>SKU59</c:v>
                </c:pt>
                <c:pt idx="60">
                  <c:v>SKU60</c:v>
                </c:pt>
                <c:pt idx="61">
                  <c:v>SKU61</c:v>
                </c:pt>
                <c:pt idx="62">
                  <c:v>SKU62</c:v>
                </c:pt>
                <c:pt idx="63">
                  <c:v>SKU63</c:v>
                </c:pt>
                <c:pt idx="64">
                  <c:v>SKU64</c:v>
                </c:pt>
                <c:pt idx="65">
                  <c:v>SKU65</c:v>
                </c:pt>
                <c:pt idx="66">
                  <c:v>SKU66</c:v>
                </c:pt>
                <c:pt idx="67">
                  <c:v>SKU67</c:v>
                </c:pt>
                <c:pt idx="68">
                  <c:v>SKU68</c:v>
                </c:pt>
                <c:pt idx="69">
                  <c:v>SKU69</c:v>
                </c:pt>
                <c:pt idx="70">
                  <c:v>SKU70</c:v>
                </c:pt>
                <c:pt idx="71">
                  <c:v>SKU71</c:v>
                </c:pt>
                <c:pt idx="72">
                  <c:v>SKU72</c:v>
                </c:pt>
                <c:pt idx="73">
                  <c:v>SKU73</c:v>
                </c:pt>
                <c:pt idx="74">
                  <c:v>SKU74</c:v>
                </c:pt>
                <c:pt idx="75">
                  <c:v>SKU75</c:v>
                </c:pt>
                <c:pt idx="76">
                  <c:v>SKU76</c:v>
                </c:pt>
                <c:pt idx="77">
                  <c:v>SKU77</c:v>
                </c:pt>
                <c:pt idx="78">
                  <c:v>SKU78</c:v>
                </c:pt>
                <c:pt idx="79">
                  <c:v>SKU79</c:v>
                </c:pt>
                <c:pt idx="80">
                  <c:v>SKU80</c:v>
                </c:pt>
                <c:pt idx="81">
                  <c:v>SKU81</c:v>
                </c:pt>
                <c:pt idx="82">
                  <c:v>SKU82</c:v>
                </c:pt>
                <c:pt idx="83">
                  <c:v>SKU83</c:v>
                </c:pt>
                <c:pt idx="84">
                  <c:v>SKU84</c:v>
                </c:pt>
                <c:pt idx="85">
                  <c:v>SKU85</c:v>
                </c:pt>
                <c:pt idx="86">
                  <c:v>SKU86</c:v>
                </c:pt>
                <c:pt idx="87">
                  <c:v>SKU87</c:v>
                </c:pt>
                <c:pt idx="88">
                  <c:v>SKU88</c:v>
                </c:pt>
                <c:pt idx="89">
                  <c:v>SKU89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xVal>
          <c:yVal>
            <c:numRef>
              <c:f>supply_chain!$E$2:$E$101</c:f>
              <c:numCache>
                <c:formatCode>General</c:formatCode>
                <c:ptCount val="100"/>
                <c:pt idx="0">
                  <c:v>802</c:v>
                </c:pt>
                <c:pt idx="1">
                  <c:v>736</c:v>
                </c:pt>
                <c:pt idx="2">
                  <c:v>8</c:v>
                </c:pt>
                <c:pt idx="3">
                  <c:v>83</c:v>
                </c:pt>
                <c:pt idx="4">
                  <c:v>871</c:v>
                </c:pt>
                <c:pt idx="5">
                  <c:v>147</c:v>
                </c:pt>
                <c:pt idx="6">
                  <c:v>65</c:v>
                </c:pt>
                <c:pt idx="7">
                  <c:v>426</c:v>
                </c:pt>
                <c:pt idx="8">
                  <c:v>150</c:v>
                </c:pt>
                <c:pt idx="9">
                  <c:v>980</c:v>
                </c:pt>
                <c:pt idx="10">
                  <c:v>996</c:v>
                </c:pt>
                <c:pt idx="11">
                  <c:v>960</c:v>
                </c:pt>
                <c:pt idx="12">
                  <c:v>336</c:v>
                </c:pt>
                <c:pt idx="13">
                  <c:v>249</c:v>
                </c:pt>
                <c:pt idx="14">
                  <c:v>562</c:v>
                </c:pt>
                <c:pt idx="15">
                  <c:v>469</c:v>
                </c:pt>
                <c:pt idx="16">
                  <c:v>280</c:v>
                </c:pt>
                <c:pt idx="17">
                  <c:v>126</c:v>
                </c:pt>
                <c:pt idx="18">
                  <c:v>620</c:v>
                </c:pt>
                <c:pt idx="19">
                  <c:v>187</c:v>
                </c:pt>
                <c:pt idx="20">
                  <c:v>320</c:v>
                </c:pt>
                <c:pt idx="21">
                  <c:v>601</c:v>
                </c:pt>
                <c:pt idx="22">
                  <c:v>884</c:v>
                </c:pt>
                <c:pt idx="23">
                  <c:v>391</c:v>
                </c:pt>
                <c:pt idx="24">
                  <c:v>209</c:v>
                </c:pt>
                <c:pt idx="25">
                  <c:v>142</c:v>
                </c:pt>
                <c:pt idx="26">
                  <c:v>353</c:v>
                </c:pt>
                <c:pt idx="27">
                  <c:v>352</c:v>
                </c:pt>
                <c:pt idx="28">
                  <c:v>394</c:v>
                </c:pt>
                <c:pt idx="29">
                  <c:v>253</c:v>
                </c:pt>
                <c:pt idx="30">
                  <c:v>327</c:v>
                </c:pt>
                <c:pt idx="31">
                  <c:v>168</c:v>
                </c:pt>
                <c:pt idx="32">
                  <c:v>781</c:v>
                </c:pt>
                <c:pt idx="33">
                  <c:v>616</c:v>
                </c:pt>
                <c:pt idx="34">
                  <c:v>602</c:v>
                </c:pt>
                <c:pt idx="35">
                  <c:v>449</c:v>
                </c:pt>
                <c:pt idx="36">
                  <c:v>963</c:v>
                </c:pt>
                <c:pt idx="37">
                  <c:v>963</c:v>
                </c:pt>
                <c:pt idx="38">
                  <c:v>705</c:v>
                </c:pt>
                <c:pt idx="39">
                  <c:v>176</c:v>
                </c:pt>
                <c:pt idx="40">
                  <c:v>933</c:v>
                </c:pt>
                <c:pt idx="41">
                  <c:v>556</c:v>
                </c:pt>
                <c:pt idx="42">
                  <c:v>155</c:v>
                </c:pt>
                <c:pt idx="43">
                  <c:v>598</c:v>
                </c:pt>
                <c:pt idx="44">
                  <c:v>919</c:v>
                </c:pt>
                <c:pt idx="45">
                  <c:v>24</c:v>
                </c:pt>
                <c:pt idx="46">
                  <c:v>859</c:v>
                </c:pt>
                <c:pt idx="47">
                  <c:v>910</c:v>
                </c:pt>
                <c:pt idx="48">
                  <c:v>29</c:v>
                </c:pt>
                <c:pt idx="49">
                  <c:v>99</c:v>
                </c:pt>
                <c:pt idx="50">
                  <c:v>633</c:v>
                </c:pt>
                <c:pt idx="51">
                  <c:v>154</c:v>
                </c:pt>
                <c:pt idx="52">
                  <c:v>820</c:v>
                </c:pt>
                <c:pt idx="53">
                  <c:v>242</c:v>
                </c:pt>
                <c:pt idx="54">
                  <c:v>622</c:v>
                </c:pt>
                <c:pt idx="55">
                  <c:v>701</c:v>
                </c:pt>
                <c:pt idx="56">
                  <c:v>93</c:v>
                </c:pt>
                <c:pt idx="57">
                  <c:v>227</c:v>
                </c:pt>
                <c:pt idx="58">
                  <c:v>896</c:v>
                </c:pt>
                <c:pt idx="59">
                  <c:v>484</c:v>
                </c:pt>
                <c:pt idx="60">
                  <c:v>380</c:v>
                </c:pt>
                <c:pt idx="61">
                  <c:v>117</c:v>
                </c:pt>
                <c:pt idx="62">
                  <c:v>270</c:v>
                </c:pt>
                <c:pt idx="63">
                  <c:v>246</c:v>
                </c:pt>
                <c:pt idx="64">
                  <c:v>134</c:v>
                </c:pt>
                <c:pt idx="65">
                  <c:v>457</c:v>
                </c:pt>
                <c:pt idx="66">
                  <c:v>704</c:v>
                </c:pt>
                <c:pt idx="67">
                  <c:v>513</c:v>
                </c:pt>
                <c:pt idx="68">
                  <c:v>163</c:v>
                </c:pt>
                <c:pt idx="69">
                  <c:v>511</c:v>
                </c:pt>
                <c:pt idx="70">
                  <c:v>32</c:v>
                </c:pt>
                <c:pt idx="71">
                  <c:v>637</c:v>
                </c:pt>
                <c:pt idx="72">
                  <c:v>478</c:v>
                </c:pt>
                <c:pt idx="73">
                  <c:v>375</c:v>
                </c:pt>
                <c:pt idx="74">
                  <c:v>904</c:v>
                </c:pt>
                <c:pt idx="75">
                  <c:v>106</c:v>
                </c:pt>
                <c:pt idx="76">
                  <c:v>241</c:v>
                </c:pt>
                <c:pt idx="77">
                  <c:v>359</c:v>
                </c:pt>
                <c:pt idx="78">
                  <c:v>946</c:v>
                </c:pt>
                <c:pt idx="79">
                  <c:v>198</c:v>
                </c:pt>
                <c:pt idx="80">
                  <c:v>872</c:v>
                </c:pt>
                <c:pt idx="81">
                  <c:v>774</c:v>
                </c:pt>
                <c:pt idx="82">
                  <c:v>336</c:v>
                </c:pt>
                <c:pt idx="83">
                  <c:v>663</c:v>
                </c:pt>
                <c:pt idx="84">
                  <c:v>618</c:v>
                </c:pt>
                <c:pt idx="85">
                  <c:v>25</c:v>
                </c:pt>
                <c:pt idx="86">
                  <c:v>223</c:v>
                </c:pt>
                <c:pt idx="87">
                  <c:v>79</c:v>
                </c:pt>
                <c:pt idx="88">
                  <c:v>737</c:v>
                </c:pt>
                <c:pt idx="89">
                  <c:v>134</c:v>
                </c:pt>
                <c:pt idx="90">
                  <c:v>320</c:v>
                </c:pt>
                <c:pt idx="91">
                  <c:v>916</c:v>
                </c:pt>
                <c:pt idx="92">
                  <c:v>276</c:v>
                </c:pt>
                <c:pt idx="93">
                  <c:v>114</c:v>
                </c:pt>
                <c:pt idx="94">
                  <c:v>987</c:v>
                </c:pt>
                <c:pt idx="95">
                  <c:v>672</c:v>
                </c:pt>
                <c:pt idx="96">
                  <c:v>324</c:v>
                </c:pt>
                <c:pt idx="97">
                  <c:v>62</c:v>
                </c:pt>
                <c:pt idx="98">
                  <c:v>913</c:v>
                </c:pt>
                <c:pt idx="99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04-4A9A-A503-CEC49DE27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368224"/>
        <c:axId val="898376424"/>
      </c:scatterChart>
      <c:valAx>
        <c:axId val="89836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76424"/>
        <c:crosses val="autoZero"/>
        <c:crossBetween val="midCat"/>
      </c:valAx>
      <c:valAx>
        <c:axId val="89837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6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1).xlsx]Products Sold by Customer Demog!inventory turnover per SKU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Products Sold by Customer Demographics and Product Type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'Products Sold by Customer Demog'!$B$3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'Products Sold by Customer Demog'!$A$4:$A$19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Unknown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Non-binary</c:v>
                  </c:pt>
                  <c:pt idx="7">
                    <c:v>Unknown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Non-binary</c:v>
                  </c:pt>
                  <c:pt idx="11">
                    <c:v>Unknown</c:v>
                  </c:pt>
                </c:lvl>
                <c:lvl>
                  <c:pt idx="0">
                    <c:v>cosmetics</c:v>
                  </c:pt>
                  <c:pt idx="4">
                    <c:v>haircare</c:v>
                  </c:pt>
                  <c:pt idx="8">
                    <c:v>skincare</c:v>
                  </c:pt>
                </c:lvl>
              </c:multiLvlStrCache>
            </c:multiLvlStrRef>
          </c:cat>
          <c:val>
            <c:numRef>
              <c:f>'Products Sold by Customer Demog'!$B$4:$B$19</c:f>
              <c:numCache>
                <c:formatCode>General</c:formatCode>
                <c:ptCount val="12"/>
                <c:pt idx="0">
                  <c:v>4012</c:v>
                </c:pt>
                <c:pt idx="1">
                  <c:v>2304</c:v>
                </c:pt>
                <c:pt idx="2">
                  <c:v>2607</c:v>
                </c:pt>
                <c:pt idx="3">
                  <c:v>2834</c:v>
                </c:pt>
                <c:pt idx="4">
                  <c:v>936</c:v>
                </c:pt>
                <c:pt idx="5">
                  <c:v>2292</c:v>
                </c:pt>
                <c:pt idx="6">
                  <c:v>2820</c:v>
                </c:pt>
                <c:pt idx="7">
                  <c:v>7563</c:v>
                </c:pt>
                <c:pt idx="8">
                  <c:v>7853</c:v>
                </c:pt>
                <c:pt idx="9">
                  <c:v>2911</c:v>
                </c:pt>
                <c:pt idx="10">
                  <c:v>5153</c:v>
                </c:pt>
                <c:pt idx="11">
                  <c:v>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1-4D70-A960-2A9B35922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012675968"/>
        <c:axId val="1012674000"/>
      </c:barChart>
      <c:catAx>
        <c:axId val="101267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12674000"/>
        <c:crosses val="autoZero"/>
        <c:auto val="1"/>
        <c:lblAlgn val="ctr"/>
        <c:lblOffset val="100"/>
        <c:noMultiLvlLbl val="0"/>
      </c:catAx>
      <c:valAx>
        <c:axId val="101267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1267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1).xlsx]Inventory Turnover Analysis by 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2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Inventory Turnover Analysis by SKU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Turnover Analysis by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'Inventory Turnover Analysis by '!$A$4:$A$105</c:f>
              <c:strCache>
                <c:ptCount val="101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  <c:pt idx="100">
                  <c:v>(blank)</c:v>
                </c:pt>
              </c:strCache>
            </c:strRef>
          </c:cat>
          <c:val>
            <c:numRef>
              <c:f>'Inventory Turnover Analysis by '!$B$4:$B$105</c:f>
              <c:numCache>
                <c:formatCode>General</c:formatCode>
                <c:ptCount val="101"/>
                <c:pt idx="0">
                  <c:v>16.788779568767008</c:v>
                </c:pt>
                <c:pt idx="1">
                  <c:v>15.407159305003139</c:v>
                </c:pt>
                <c:pt idx="2">
                  <c:v>20.84990579861838</c:v>
                </c:pt>
                <c:pt idx="3">
                  <c:v>20.096294745656269</c:v>
                </c:pt>
                <c:pt idx="4">
                  <c:v>7.0337031609796936</c:v>
                </c:pt>
                <c:pt idx="5">
                  <c:v>5.212476449654595</c:v>
                </c:pt>
                <c:pt idx="6">
                  <c:v>11.76470588235294</c:v>
                </c:pt>
                <c:pt idx="7">
                  <c:v>9.817877328867489</c:v>
                </c:pt>
                <c:pt idx="8">
                  <c:v>5.8614193008164115</c:v>
                </c:pt>
                <c:pt idx="9">
                  <c:v>2.637638685367385</c:v>
                </c:pt>
                <c:pt idx="10">
                  <c:v>12.97885702323634</c:v>
                </c:pt>
                <c:pt idx="11">
                  <c:v>3.9145907473309607</c:v>
                </c:pt>
                <c:pt idx="12">
                  <c:v>0.16746912288046889</c:v>
                </c:pt>
                <c:pt idx="13">
                  <c:v>6.6987649152187565</c:v>
                </c:pt>
                <c:pt idx="14">
                  <c:v>12.581117856395226</c:v>
                </c:pt>
                <c:pt idx="15">
                  <c:v>18.505338078291814</c:v>
                </c:pt>
                <c:pt idx="16">
                  <c:v>8.185053380782918</c:v>
                </c:pt>
                <c:pt idx="17">
                  <c:v>4.37513083525225</c:v>
                </c:pt>
                <c:pt idx="18">
                  <c:v>2.972576931128323</c:v>
                </c:pt>
                <c:pt idx="19">
                  <c:v>7.3895750471006902</c:v>
                </c:pt>
                <c:pt idx="20">
                  <c:v>7.3686414067406316</c:v>
                </c:pt>
                <c:pt idx="21">
                  <c:v>8.247854301863093</c:v>
                </c:pt>
                <c:pt idx="22">
                  <c:v>5.2962110110948286</c:v>
                </c:pt>
                <c:pt idx="23">
                  <c:v>1.7374921498848648</c:v>
                </c:pt>
                <c:pt idx="24">
                  <c:v>6.845300397739166</c:v>
                </c:pt>
                <c:pt idx="25">
                  <c:v>3.5168515804898468</c:v>
                </c:pt>
                <c:pt idx="26">
                  <c:v>16.349173121205776</c:v>
                </c:pt>
                <c:pt idx="27">
                  <c:v>12.895122461796106</c:v>
                </c:pt>
                <c:pt idx="28">
                  <c:v>12.602051496755285</c:v>
                </c:pt>
                <c:pt idx="29">
                  <c:v>9.3992045216663165</c:v>
                </c:pt>
                <c:pt idx="30">
                  <c:v>20.159095666736444</c:v>
                </c:pt>
                <c:pt idx="31">
                  <c:v>20.159095666736444</c:v>
                </c:pt>
                <c:pt idx="32">
                  <c:v>14.758216453841323</c:v>
                </c:pt>
                <c:pt idx="33">
                  <c:v>3.6843207033703158</c:v>
                </c:pt>
                <c:pt idx="34">
                  <c:v>18.233200753611051</c:v>
                </c:pt>
                <c:pt idx="35">
                  <c:v>19.531086455934688</c:v>
                </c:pt>
                <c:pt idx="36">
                  <c:v>11.639104040192588</c:v>
                </c:pt>
                <c:pt idx="37">
                  <c:v>3.2447142558090851</c:v>
                </c:pt>
                <c:pt idx="38">
                  <c:v>12.518316935315051</c:v>
                </c:pt>
                <c:pt idx="39">
                  <c:v>19.238015490893865</c:v>
                </c:pt>
                <c:pt idx="40">
                  <c:v>0.50240736864140667</c:v>
                </c:pt>
                <c:pt idx="41">
                  <c:v>17.981997069290347</c:v>
                </c:pt>
                <c:pt idx="42">
                  <c:v>19.049612727653336</c:v>
                </c:pt>
                <c:pt idx="43">
                  <c:v>0.6070755704416998</c:v>
                </c:pt>
                <c:pt idx="44">
                  <c:v>2.0724303956458026</c:v>
                </c:pt>
                <c:pt idx="45">
                  <c:v>3.0772451329286161</c:v>
                </c:pt>
                <c:pt idx="46">
                  <c:v>13.250994347917102</c:v>
                </c:pt>
                <c:pt idx="47">
                  <c:v>3.2237806154490265</c:v>
                </c:pt>
                <c:pt idx="48">
                  <c:v>17.165585095248062</c:v>
                </c:pt>
                <c:pt idx="49">
                  <c:v>5.0659409671341846</c:v>
                </c:pt>
                <c:pt idx="50">
                  <c:v>13.020724303956458</c:v>
                </c:pt>
                <c:pt idx="51">
                  <c:v>14.674481892401088</c:v>
                </c:pt>
                <c:pt idx="52">
                  <c:v>1.946828553485451</c:v>
                </c:pt>
                <c:pt idx="53">
                  <c:v>4.7519363617333052</c:v>
                </c:pt>
                <c:pt idx="54">
                  <c:v>18.756541762612517</c:v>
                </c:pt>
                <c:pt idx="55">
                  <c:v>10.131881934268369</c:v>
                </c:pt>
                <c:pt idx="56">
                  <c:v>1.3606866234038097</c:v>
                </c:pt>
                <c:pt idx="57">
                  <c:v>7.9547833368222731</c:v>
                </c:pt>
                <c:pt idx="58">
                  <c:v>2.4492359221268578</c:v>
                </c:pt>
                <c:pt idx="59">
                  <c:v>5.6520828972158252</c:v>
                </c:pt>
                <c:pt idx="60">
                  <c:v>5.1496755285744191</c:v>
                </c:pt>
                <c:pt idx="61">
                  <c:v>2.805107808247854</c:v>
                </c:pt>
                <c:pt idx="62">
                  <c:v>9.5666736445467855</c:v>
                </c:pt>
                <c:pt idx="63">
                  <c:v>14.737282813481263</c:v>
                </c:pt>
                <c:pt idx="64">
                  <c:v>10.738957504710068</c:v>
                </c:pt>
                <c:pt idx="65">
                  <c:v>3.4121833786895537</c:v>
                </c:pt>
                <c:pt idx="66">
                  <c:v>10.697090223989951</c:v>
                </c:pt>
                <c:pt idx="67">
                  <c:v>8.917730793384969</c:v>
                </c:pt>
                <c:pt idx="68">
                  <c:v>0.66987649152187556</c:v>
                </c:pt>
                <c:pt idx="69">
                  <c:v>13.334728909357336</c:v>
                </c:pt>
                <c:pt idx="70">
                  <c:v>10.006280092108017</c:v>
                </c:pt>
                <c:pt idx="71">
                  <c:v>7.85011513502198</c:v>
                </c:pt>
                <c:pt idx="72">
                  <c:v>18.924010885492986</c:v>
                </c:pt>
                <c:pt idx="73">
                  <c:v>2.2189658781662129</c:v>
                </c:pt>
                <c:pt idx="74">
                  <c:v>5.045007326774126</c:v>
                </c:pt>
                <c:pt idx="75">
                  <c:v>7.515176889261042</c:v>
                </c:pt>
                <c:pt idx="76">
                  <c:v>19.803223780615447</c:v>
                </c:pt>
                <c:pt idx="77">
                  <c:v>4.1448607912916051</c:v>
                </c:pt>
                <c:pt idx="78">
                  <c:v>3.140046054008792</c:v>
                </c:pt>
                <c:pt idx="79">
                  <c:v>18.25413439397111</c:v>
                </c:pt>
                <c:pt idx="80">
                  <c:v>16.202637638685367</c:v>
                </c:pt>
                <c:pt idx="81">
                  <c:v>7.0337031609796936</c:v>
                </c:pt>
                <c:pt idx="82">
                  <c:v>13.87900355871886</c:v>
                </c:pt>
                <c:pt idx="83">
                  <c:v>12.936989742516223</c:v>
                </c:pt>
                <c:pt idx="84">
                  <c:v>0.5233410090014653</c:v>
                </c:pt>
                <c:pt idx="85">
                  <c:v>4.6682018002930707</c:v>
                </c:pt>
                <c:pt idx="86">
                  <c:v>1.6537575884446305</c:v>
                </c:pt>
                <c:pt idx="87">
                  <c:v>15.428092945363197</c:v>
                </c:pt>
                <c:pt idx="88">
                  <c:v>2.805107808247854</c:v>
                </c:pt>
                <c:pt idx="89">
                  <c:v>20.514967552857442</c:v>
                </c:pt>
                <c:pt idx="90">
                  <c:v>6.6987649152187565</c:v>
                </c:pt>
                <c:pt idx="91">
                  <c:v>19.17521456981369</c:v>
                </c:pt>
                <c:pt idx="92">
                  <c:v>5.777684739376177</c:v>
                </c:pt>
                <c:pt idx="93">
                  <c:v>2.3864350010466819</c:v>
                </c:pt>
                <c:pt idx="94">
                  <c:v>20.661503035377851</c:v>
                </c:pt>
                <c:pt idx="95">
                  <c:v>14.067406321959387</c:v>
                </c:pt>
                <c:pt idx="96">
                  <c:v>6.7824994766589901</c:v>
                </c:pt>
                <c:pt idx="97">
                  <c:v>1.2978857023236341</c:v>
                </c:pt>
                <c:pt idx="98">
                  <c:v>19.112413648733515</c:v>
                </c:pt>
                <c:pt idx="99">
                  <c:v>13.12539250575675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50-44E2-8F18-4D8913244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04492488"/>
        <c:axId val="704494128"/>
      </c:barChart>
      <c:catAx>
        <c:axId val="70449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4494128"/>
        <c:crosses val="autoZero"/>
        <c:auto val="1"/>
        <c:lblAlgn val="ctr"/>
        <c:lblOffset val="100"/>
        <c:noMultiLvlLbl val="0"/>
      </c:catAx>
      <c:valAx>
        <c:axId val="70449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4492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1).xlsx]Stock Levels by SKU!PivotTable7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Stock Levels by SKU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Levels by SKU'!$B$3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'Stock Levels by SKU'!$A$4:$A$105</c:f>
              <c:strCache>
                <c:ptCount val="101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  <c:pt idx="100">
                  <c:v>(blank)</c:v>
                </c:pt>
              </c:strCache>
            </c:strRef>
          </c:cat>
          <c:val>
            <c:numRef>
              <c:f>'Stock Levels by SKU'!$B$4:$B$105</c:f>
              <c:numCache>
                <c:formatCode>General</c:formatCode>
                <c:ptCount val="101"/>
                <c:pt idx="0">
                  <c:v>58</c:v>
                </c:pt>
                <c:pt idx="1">
                  <c:v>53</c:v>
                </c:pt>
                <c:pt idx="2">
                  <c:v>51</c:v>
                </c:pt>
                <c:pt idx="3">
                  <c:v>46</c:v>
                </c:pt>
                <c:pt idx="4">
                  <c:v>100</c:v>
                </c:pt>
                <c:pt idx="5">
                  <c:v>80</c:v>
                </c:pt>
                <c:pt idx="6">
                  <c:v>54</c:v>
                </c:pt>
                <c:pt idx="7">
                  <c:v>9</c:v>
                </c:pt>
                <c:pt idx="8">
                  <c:v>2</c:v>
                </c:pt>
                <c:pt idx="9">
                  <c:v>45</c:v>
                </c:pt>
                <c:pt idx="10">
                  <c:v>10</c:v>
                </c:pt>
                <c:pt idx="11">
                  <c:v>48</c:v>
                </c:pt>
                <c:pt idx="12">
                  <c:v>1</c:v>
                </c:pt>
                <c:pt idx="13">
                  <c:v>27</c:v>
                </c:pt>
                <c:pt idx="14">
                  <c:v>69</c:v>
                </c:pt>
                <c:pt idx="15">
                  <c:v>71</c:v>
                </c:pt>
                <c:pt idx="16">
                  <c:v>84</c:v>
                </c:pt>
                <c:pt idx="17">
                  <c:v>4</c:v>
                </c:pt>
                <c:pt idx="18">
                  <c:v>82</c:v>
                </c:pt>
                <c:pt idx="19">
                  <c:v>59</c:v>
                </c:pt>
                <c:pt idx="20">
                  <c:v>47</c:v>
                </c:pt>
                <c:pt idx="21">
                  <c:v>48</c:v>
                </c:pt>
                <c:pt idx="22">
                  <c:v>45</c:v>
                </c:pt>
                <c:pt idx="23">
                  <c:v>23</c:v>
                </c:pt>
                <c:pt idx="24">
                  <c:v>60</c:v>
                </c:pt>
                <c:pt idx="25">
                  <c:v>6</c:v>
                </c:pt>
                <c:pt idx="26">
                  <c:v>89</c:v>
                </c:pt>
                <c:pt idx="27">
                  <c:v>4</c:v>
                </c:pt>
                <c:pt idx="28">
                  <c:v>1</c:v>
                </c:pt>
                <c:pt idx="29">
                  <c:v>42</c:v>
                </c:pt>
                <c:pt idx="30">
                  <c:v>18</c:v>
                </c:pt>
                <c:pt idx="31">
                  <c:v>25</c:v>
                </c:pt>
                <c:pt idx="32">
                  <c:v>69</c:v>
                </c:pt>
                <c:pt idx="33">
                  <c:v>78</c:v>
                </c:pt>
                <c:pt idx="34">
                  <c:v>5</c:v>
                </c:pt>
                <c:pt idx="35">
                  <c:v>90</c:v>
                </c:pt>
                <c:pt idx="36">
                  <c:v>64</c:v>
                </c:pt>
                <c:pt idx="37">
                  <c:v>22</c:v>
                </c:pt>
                <c:pt idx="38">
                  <c:v>36</c:v>
                </c:pt>
                <c:pt idx="39">
                  <c:v>13</c:v>
                </c:pt>
                <c:pt idx="40">
                  <c:v>93</c:v>
                </c:pt>
                <c:pt idx="41">
                  <c:v>92</c:v>
                </c:pt>
                <c:pt idx="42">
                  <c:v>4</c:v>
                </c:pt>
                <c:pt idx="43">
                  <c:v>30</c:v>
                </c:pt>
                <c:pt idx="44">
                  <c:v>97</c:v>
                </c:pt>
                <c:pt idx="45">
                  <c:v>90</c:v>
                </c:pt>
                <c:pt idx="46">
                  <c:v>31</c:v>
                </c:pt>
                <c:pt idx="47">
                  <c:v>100</c:v>
                </c:pt>
                <c:pt idx="48">
                  <c:v>64</c:v>
                </c:pt>
                <c:pt idx="49">
                  <c:v>96</c:v>
                </c:pt>
                <c:pt idx="50">
                  <c:v>33</c:v>
                </c:pt>
                <c:pt idx="51">
                  <c:v>97</c:v>
                </c:pt>
                <c:pt idx="52">
                  <c:v>25</c:v>
                </c:pt>
                <c:pt idx="53">
                  <c:v>5</c:v>
                </c:pt>
                <c:pt idx="54">
                  <c:v>10</c:v>
                </c:pt>
                <c:pt idx="55">
                  <c:v>100</c:v>
                </c:pt>
                <c:pt idx="56">
                  <c:v>11</c:v>
                </c:pt>
                <c:pt idx="57">
                  <c:v>41</c:v>
                </c:pt>
                <c:pt idx="58">
                  <c:v>32</c:v>
                </c:pt>
                <c:pt idx="59">
                  <c:v>86</c:v>
                </c:pt>
                <c:pt idx="60">
                  <c:v>54</c:v>
                </c:pt>
                <c:pt idx="61">
                  <c:v>73</c:v>
                </c:pt>
                <c:pt idx="62">
                  <c:v>57</c:v>
                </c:pt>
                <c:pt idx="63">
                  <c:v>13</c:v>
                </c:pt>
                <c:pt idx="64">
                  <c:v>12</c:v>
                </c:pt>
                <c:pt idx="65">
                  <c:v>0</c:v>
                </c:pt>
                <c:pt idx="66">
                  <c:v>95</c:v>
                </c:pt>
                <c:pt idx="67">
                  <c:v>93</c:v>
                </c:pt>
                <c:pt idx="68">
                  <c:v>10</c:v>
                </c:pt>
                <c:pt idx="69">
                  <c:v>76</c:v>
                </c:pt>
                <c:pt idx="70">
                  <c:v>57</c:v>
                </c:pt>
                <c:pt idx="71">
                  <c:v>17</c:v>
                </c:pt>
                <c:pt idx="72">
                  <c:v>41</c:v>
                </c:pt>
                <c:pt idx="73">
                  <c:v>16</c:v>
                </c:pt>
                <c:pt idx="74">
                  <c:v>38</c:v>
                </c:pt>
                <c:pt idx="75">
                  <c:v>96</c:v>
                </c:pt>
                <c:pt idx="76">
                  <c:v>5</c:v>
                </c:pt>
                <c:pt idx="77">
                  <c:v>31</c:v>
                </c:pt>
                <c:pt idx="78">
                  <c:v>5</c:v>
                </c:pt>
                <c:pt idx="79">
                  <c:v>39</c:v>
                </c:pt>
                <c:pt idx="80">
                  <c:v>48</c:v>
                </c:pt>
                <c:pt idx="81">
                  <c:v>42</c:v>
                </c:pt>
                <c:pt idx="82">
                  <c:v>65</c:v>
                </c:pt>
                <c:pt idx="83">
                  <c:v>73</c:v>
                </c:pt>
                <c:pt idx="84">
                  <c:v>15</c:v>
                </c:pt>
                <c:pt idx="85">
                  <c:v>32</c:v>
                </c:pt>
                <c:pt idx="86">
                  <c:v>5</c:v>
                </c:pt>
                <c:pt idx="87">
                  <c:v>60</c:v>
                </c:pt>
                <c:pt idx="88">
                  <c:v>90</c:v>
                </c:pt>
                <c:pt idx="89">
                  <c:v>14</c:v>
                </c:pt>
                <c:pt idx="90">
                  <c:v>66</c:v>
                </c:pt>
                <c:pt idx="91">
                  <c:v>98</c:v>
                </c:pt>
                <c:pt idx="92">
                  <c:v>90</c:v>
                </c:pt>
                <c:pt idx="93">
                  <c:v>63</c:v>
                </c:pt>
                <c:pt idx="94">
                  <c:v>77</c:v>
                </c:pt>
                <c:pt idx="95">
                  <c:v>15</c:v>
                </c:pt>
                <c:pt idx="96">
                  <c:v>67</c:v>
                </c:pt>
                <c:pt idx="97">
                  <c:v>46</c:v>
                </c:pt>
                <c:pt idx="98">
                  <c:v>53</c:v>
                </c:pt>
                <c:pt idx="9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C-4CF2-B998-3F42E40F0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10092968"/>
        <c:axId val="1143888512"/>
      </c:barChart>
      <c:catAx>
        <c:axId val="91009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143888512"/>
        <c:crosses val="autoZero"/>
        <c:auto val="1"/>
        <c:lblAlgn val="ctr"/>
        <c:lblOffset val="100"/>
        <c:noMultiLvlLbl val="0"/>
      </c:catAx>
      <c:valAx>
        <c:axId val="1143888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10092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1).xlsx]Revenue Distribution by Custome!PivotTable8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GB" sz="1200" b="0" i="0" u="none" strike="noStrike" baseline="0">
                <a:effectLst/>
              </a:rPr>
              <a:t>Revenue Distribution by Customer Demographics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Distribution by Custome'!$B$3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Distribution by Custome'!$A$4:$A$8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Unknown</c:v>
                </c:pt>
              </c:strCache>
            </c:strRef>
          </c:cat>
          <c:val>
            <c:numRef>
              <c:f>'Revenue Distribution by Custome'!$B$4:$B$8</c:f>
              <c:numCache>
                <c:formatCode>General</c:formatCode>
                <c:ptCount val="4"/>
                <c:pt idx="0">
                  <c:v>161514.49000000005</c:v>
                </c:pt>
                <c:pt idx="1">
                  <c:v>126634.42000000003</c:v>
                </c:pt>
                <c:pt idx="2">
                  <c:v>116365.81</c:v>
                </c:pt>
                <c:pt idx="3">
                  <c:v>173090.13999999996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D-4EF8-A4A1-98A0D0585E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695645136"/>
        <c:axId val="695641528"/>
      </c:barChart>
      <c:catAx>
        <c:axId val="6956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ar-EG"/>
          </a:p>
        </c:txPr>
        <c:crossAx val="695641528"/>
        <c:crosses val="autoZero"/>
        <c:auto val="1"/>
        <c:lblAlgn val="ctr"/>
        <c:lblOffset val="100"/>
        <c:noMultiLvlLbl val="0"/>
      </c:catAx>
      <c:valAx>
        <c:axId val="695641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564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1).xlsx]Average Lead Time by Supplier!PivotTable9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Average Lead Time by Supplier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Lead Time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Lead Time by Supplier'!$A$4:$A$9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'Average Lead Time by Supplier'!$B$4:$B$9</c:f>
              <c:numCache>
                <c:formatCode>General</c:formatCode>
                <c:ptCount val="5"/>
                <c:pt idx="0">
                  <c:v>14.777777777777779</c:v>
                </c:pt>
                <c:pt idx="1">
                  <c:v>18.545454545454547</c:v>
                </c:pt>
                <c:pt idx="2">
                  <c:v>20.133333333333333</c:v>
                </c:pt>
                <c:pt idx="3">
                  <c:v>15.222222222222221</c:v>
                </c:pt>
                <c:pt idx="4">
                  <c:v>18.055555555555557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5-4735-A3BE-2F1D30D6D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5243304"/>
        <c:axId val="905237072"/>
      </c:barChart>
      <c:catAx>
        <c:axId val="905243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05237072"/>
        <c:crosses val="autoZero"/>
        <c:auto val="1"/>
        <c:lblAlgn val="ctr"/>
        <c:lblOffset val="100"/>
        <c:noMultiLvlLbl val="0"/>
      </c:catAx>
      <c:valAx>
        <c:axId val="905237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05243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1).xlsx]Production Volume by Supplier!PivotTable10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Production Volume by Supplier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'Production Volume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'Production Volume by Supplier'!$A$4:$A$9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'Production Volume by Supplier'!$B$4:$B$9</c:f>
              <c:numCache>
                <c:formatCode>General</c:formatCode>
                <c:ptCount val="5"/>
                <c:pt idx="0">
                  <c:v>13545</c:v>
                </c:pt>
                <c:pt idx="1">
                  <c:v>14105</c:v>
                </c:pt>
                <c:pt idx="2">
                  <c:v>7997</c:v>
                </c:pt>
                <c:pt idx="3">
                  <c:v>11756</c:v>
                </c:pt>
                <c:pt idx="4">
                  <c:v>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C1-4177-91E2-AEB57484B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6789552"/>
        <c:axId val="706787912"/>
      </c:barChart>
      <c:catAx>
        <c:axId val="70678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6787912"/>
        <c:crosses val="autoZero"/>
        <c:auto val="1"/>
        <c:lblAlgn val="ctr"/>
        <c:lblOffset val="100"/>
        <c:noMultiLvlLbl val="0"/>
      </c:catAx>
      <c:valAx>
        <c:axId val="706787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678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1).xlsx]Costs by SKU!PivotTable1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Costs by SKU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'Costs by SKU'!$B$3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'Costs by SKU'!$A$4:$A$105</c:f>
              <c:strCache>
                <c:ptCount val="101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  <c:pt idx="100">
                  <c:v>(blank)</c:v>
                </c:pt>
              </c:strCache>
            </c:strRef>
          </c:cat>
          <c:val>
            <c:numRef>
              <c:f>'Costs by SKU'!$B$4:$B$105</c:f>
              <c:numCache>
                <c:formatCode>General</c:formatCode>
                <c:ptCount val="101"/>
                <c:pt idx="0">
                  <c:v>187.75</c:v>
                </c:pt>
                <c:pt idx="1">
                  <c:v>503.07</c:v>
                </c:pt>
                <c:pt idx="2">
                  <c:v>806.1</c:v>
                </c:pt>
                <c:pt idx="3">
                  <c:v>126.72</c:v>
                </c:pt>
                <c:pt idx="4">
                  <c:v>402.97</c:v>
                </c:pt>
                <c:pt idx="5">
                  <c:v>547.24</c:v>
                </c:pt>
                <c:pt idx="6">
                  <c:v>929.24</c:v>
                </c:pt>
                <c:pt idx="7">
                  <c:v>127.86</c:v>
                </c:pt>
                <c:pt idx="8">
                  <c:v>865.53</c:v>
                </c:pt>
                <c:pt idx="9">
                  <c:v>670.93</c:v>
                </c:pt>
                <c:pt idx="10">
                  <c:v>593.48</c:v>
                </c:pt>
                <c:pt idx="11">
                  <c:v>477.31</c:v>
                </c:pt>
                <c:pt idx="12">
                  <c:v>141.91999999999999</c:v>
                </c:pt>
                <c:pt idx="13">
                  <c:v>493.87</c:v>
                </c:pt>
                <c:pt idx="14">
                  <c:v>523.36</c:v>
                </c:pt>
                <c:pt idx="15">
                  <c:v>205.57</c:v>
                </c:pt>
                <c:pt idx="16">
                  <c:v>196.33</c:v>
                </c:pt>
                <c:pt idx="17">
                  <c:v>758.72</c:v>
                </c:pt>
                <c:pt idx="18">
                  <c:v>458.54</c:v>
                </c:pt>
                <c:pt idx="19">
                  <c:v>617.87</c:v>
                </c:pt>
                <c:pt idx="20">
                  <c:v>762.46</c:v>
                </c:pt>
                <c:pt idx="21">
                  <c:v>123.44</c:v>
                </c:pt>
                <c:pt idx="22">
                  <c:v>764.94</c:v>
                </c:pt>
                <c:pt idx="23">
                  <c:v>254.78</c:v>
                </c:pt>
                <c:pt idx="24">
                  <c:v>880.08</c:v>
                </c:pt>
                <c:pt idx="25">
                  <c:v>609.38</c:v>
                </c:pt>
                <c:pt idx="26">
                  <c:v>761.17</c:v>
                </c:pt>
                <c:pt idx="27">
                  <c:v>371.26</c:v>
                </c:pt>
                <c:pt idx="28">
                  <c:v>510.36</c:v>
                </c:pt>
                <c:pt idx="29">
                  <c:v>553.41999999999996</c:v>
                </c:pt>
                <c:pt idx="30">
                  <c:v>403.81</c:v>
                </c:pt>
                <c:pt idx="31">
                  <c:v>183.93</c:v>
                </c:pt>
                <c:pt idx="32">
                  <c:v>339.67</c:v>
                </c:pt>
                <c:pt idx="33">
                  <c:v>653.66999999999996</c:v>
                </c:pt>
                <c:pt idx="34">
                  <c:v>923.44</c:v>
                </c:pt>
                <c:pt idx="35">
                  <c:v>529.80999999999995</c:v>
                </c:pt>
                <c:pt idx="36">
                  <c:v>275.52</c:v>
                </c:pt>
                <c:pt idx="37">
                  <c:v>635.66</c:v>
                </c:pt>
                <c:pt idx="38">
                  <c:v>716.04</c:v>
                </c:pt>
                <c:pt idx="39">
                  <c:v>610.45000000000005</c:v>
                </c:pt>
                <c:pt idx="40">
                  <c:v>495.31</c:v>
                </c:pt>
                <c:pt idx="41">
                  <c:v>380.44</c:v>
                </c:pt>
                <c:pt idx="42">
                  <c:v>581.6</c:v>
                </c:pt>
                <c:pt idx="43">
                  <c:v>768.65</c:v>
                </c:pt>
                <c:pt idx="44">
                  <c:v>336.89</c:v>
                </c:pt>
                <c:pt idx="45">
                  <c:v>235.46</c:v>
                </c:pt>
                <c:pt idx="46">
                  <c:v>496.25</c:v>
                </c:pt>
                <c:pt idx="47">
                  <c:v>694.98</c:v>
                </c:pt>
                <c:pt idx="48">
                  <c:v>602.9</c:v>
                </c:pt>
                <c:pt idx="49">
                  <c:v>750.74</c:v>
                </c:pt>
                <c:pt idx="50">
                  <c:v>814.07</c:v>
                </c:pt>
                <c:pt idx="51">
                  <c:v>323.01</c:v>
                </c:pt>
                <c:pt idx="52">
                  <c:v>832.21</c:v>
                </c:pt>
                <c:pt idx="53">
                  <c:v>482.19</c:v>
                </c:pt>
                <c:pt idx="54">
                  <c:v>110.36</c:v>
                </c:pt>
                <c:pt idx="55">
                  <c:v>312.57</c:v>
                </c:pt>
                <c:pt idx="56">
                  <c:v>134.37</c:v>
                </c:pt>
                <c:pt idx="57">
                  <c:v>430.17</c:v>
                </c:pt>
                <c:pt idx="58">
                  <c:v>164.37</c:v>
                </c:pt>
                <c:pt idx="59">
                  <c:v>320.85000000000002</c:v>
                </c:pt>
                <c:pt idx="60">
                  <c:v>687.29</c:v>
                </c:pt>
                <c:pt idx="61">
                  <c:v>771.23</c:v>
                </c:pt>
                <c:pt idx="62">
                  <c:v>555.86</c:v>
                </c:pt>
                <c:pt idx="63">
                  <c:v>393.84</c:v>
                </c:pt>
                <c:pt idx="64">
                  <c:v>169.27</c:v>
                </c:pt>
                <c:pt idx="65">
                  <c:v>299.70999999999998</c:v>
                </c:pt>
                <c:pt idx="66">
                  <c:v>207.66</c:v>
                </c:pt>
                <c:pt idx="67">
                  <c:v>802.06</c:v>
                </c:pt>
                <c:pt idx="68">
                  <c:v>183.27</c:v>
                </c:pt>
                <c:pt idx="69">
                  <c:v>405.17</c:v>
                </c:pt>
                <c:pt idx="70">
                  <c:v>677.94</c:v>
                </c:pt>
                <c:pt idx="71">
                  <c:v>866.47</c:v>
                </c:pt>
                <c:pt idx="72">
                  <c:v>341.55</c:v>
                </c:pt>
                <c:pt idx="73">
                  <c:v>873.13</c:v>
                </c:pt>
                <c:pt idx="74">
                  <c:v>997.41</c:v>
                </c:pt>
                <c:pt idx="75">
                  <c:v>852.57</c:v>
                </c:pt>
                <c:pt idx="76">
                  <c:v>323.58999999999997</c:v>
                </c:pt>
                <c:pt idx="77">
                  <c:v>351.5</c:v>
                </c:pt>
                <c:pt idx="78">
                  <c:v>505.56</c:v>
                </c:pt>
                <c:pt idx="79">
                  <c:v>787.78</c:v>
                </c:pt>
                <c:pt idx="80">
                  <c:v>276.77999999999997</c:v>
                </c:pt>
                <c:pt idx="81">
                  <c:v>589.98</c:v>
                </c:pt>
                <c:pt idx="82">
                  <c:v>682.97</c:v>
                </c:pt>
                <c:pt idx="83">
                  <c:v>465.46</c:v>
                </c:pt>
                <c:pt idx="84">
                  <c:v>842.69</c:v>
                </c:pt>
                <c:pt idx="85">
                  <c:v>264.25</c:v>
                </c:pt>
                <c:pt idx="86">
                  <c:v>879.36</c:v>
                </c:pt>
                <c:pt idx="87">
                  <c:v>103.92</c:v>
                </c:pt>
                <c:pt idx="88">
                  <c:v>517.5</c:v>
                </c:pt>
                <c:pt idx="89">
                  <c:v>995.93</c:v>
                </c:pt>
                <c:pt idx="90">
                  <c:v>990.08</c:v>
                </c:pt>
                <c:pt idx="91">
                  <c:v>996.78</c:v>
                </c:pt>
                <c:pt idx="92">
                  <c:v>230.09</c:v>
                </c:pt>
                <c:pt idx="93">
                  <c:v>823.52</c:v>
                </c:pt>
                <c:pt idx="94">
                  <c:v>846.67</c:v>
                </c:pt>
                <c:pt idx="95">
                  <c:v>778.86</c:v>
                </c:pt>
                <c:pt idx="96">
                  <c:v>188.74</c:v>
                </c:pt>
                <c:pt idx="97">
                  <c:v>540.13</c:v>
                </c:pt>
                <c:pt idx="98">
                  <c:v>882.2</c:v>
                </c:pt>
                <c:pt idx="99">
                  <c:v>210.74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2-45A3-A891-AA47F7F88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011000"/>
        <c:axId val="540007392"/>
      </c:barChart>
      <c:catAx>
        <c:axId val="54001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07392"/>
        <c:crosses val="autoZero"/>
        <c:auto val="1"/>
        <c:lblAlgn val="ctr"/>
        <c:lblOffset val="100"/>
        <c:noMultiLvlLbl val="0"/>
      </c:catAx>
      <c:valAx>
        <c:axId val="5400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1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1).xlsx]Shipping Costs per Transportati!PivotTable3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Shipping Costs per Transportation Mode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'Shipping Costs per Transportati'!$B$3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Costs per Transportati'!$A$4:$A$8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'Shipping Costs per Transportati'!$B$4:$B$8</c:f>
              <c:numCache>
                <c:formatCode>General</c:formatCode>
                <c:ptCount val="4"/>
                <c:pt idx="0">
                  <c:v>6.0176923076923066</c:v>
                </c:pt>
                <c:pt idx="1">
                  <c:v>5.4692857142857125</c:v>
                </c:pt>
                <c:pt idx="2">
                  <c:v>5.5424137931034476</c:v>
                </c:pt>
                <c:pt idx="3">
                  <c:v>4.9699999999999989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1-4A71-B002-30BF5C734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583256"/>
        <c:axId val="546576696"/>
      </c:barChart>
      <c:catAx>
        <c:axId val="546583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76696"/>
        <c:crosses val="autoZero"/>
        <c:auto val="1"/>
        <c:lblAlgn val="ctr"/>
        <c:lblOffset val="100"/>
        <c:noMultiLvlLbl val="0"/>
      </c:catAx>
      <c:valAx>
        <c:axId val="5465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83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1).xlsx]Impact of Route on Shipping Tim!PivotTable4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Impact of Route on Shipping Times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'Impact of Route on Shipping Tim'!$B$3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'Impact of Route on Shipping Tim'!$A$4:$A$7</c:f>
              <c:strCache>
                <c:ptCount val="3"/>
                <c:pt idx="0">
                  <c:v>Route A</c:v>
                </c:pt>
                <c:pt idx="1">
                  <c:v>Route B</c:v>
                </c:pt>
                <c:pt idx="2">
                  <c:v>Route C</c:v>
                </c:pt>
              </c:strCache>
            </c:strRef>
          </c:cat>
          <c:val>
            <c:numRef>
              <c:f>'Impact of Route on Shipping Tim'!$B$4:$B$7</c:f>
              <c:numCache>
                <c:formatCode>General</c:formatCode>
                <c:ptCount val="3"/>
                <c:pt idx="0">
                  <c:v>259</c:v>
                </c:pt>
                <c:pt idx="1">
                  <c:v>211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F-4556-9F26-FF81F04BF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579320"/>
        <c:axId val="546579648"/>
      </c:barChart>
      <c:catAx>
        <c:axId val="54657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79648"/>
        <c:crosses val="autoZero"/>
        <c:auto val="1"/>
        <c:lblAlgn val="ctr"/>
        <c:lblOffset val="100"/>
        <c:noMultiLvlLbl val="0"/>
      </c:catAx>
      <c:valAx>
        <c:axId val="54657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7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1).xlsx]Supplier Costs and Lead Time Ov!PivotTable11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Supplier Costs and Lead Time Overview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'Supplier Costs and Lead Time Ov'!$B$3</c:f>
              <c:strCache>
                <c:ptCount val="1"/>
                <c:pt idx="0">
                  <c:v>Sum of Shipping costs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'Supplier Costs and Lead Time Ov'!$A$4:$A$9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'Supplier Costs and Lead Time Ov'!$B$4:$B$9</c:f>
              <c:numCache>
                <c:formatCode>General</c:formatCode>
                <c:ptCount val="5"/>
                <c:pt idx="0">
                  <c:v>148.83000000000001</c:v>
                </c:pt>
                <c:pt idx="1">
                  <c:v>126.25999999999999</c:v>
                </c:pt>
                <c:pt idx="2">
                  <c:v>71.839999999999989</c:v>
                </c:pt>
                <c:pt idx="3">
                  <c:v>103.66000000000001</c:v>
                </c:pt>
                <c:pt idx="4">
                  <c:v>104.22999999999999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3-4D3C-B24C-BE5A69BF10B5}"/>
            </c:ext>
          </c:extLst>
        </c:ser>
        <c:ser>
          <c:idx val="1"/>
          <c:order val="1"/>
          <c:tx>
            <c:strRef>
              <c:f>'Supplier Costs and Lead Time Ov'!$C$3</c:f>
              <c:strCache>
                <c:ptCount val="1"/>
                <c:pt idx="0">
                  <c:v>Sum of Manufacturing costs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'Supplier Costs and Lead Time Ov'!$A$4:$A$9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'Supplier Costs and Lead Time Ov'!$C$4:$C$9</c:f>
              <c:numCache>
                <c:formatCode>General</c:formatCode>
                <c:ptCount val="5"/>
                <c:pt idx="0">
                  <c:v>1221.8499999999999</c:v>
                </c:pt>
                <c:pt idx="1">
                  <c:v>915.68</c:v>
                </c:pt>
                <c:pt idx="2">
                  <c:v>654.52</c:v>
                </c:pt>
                <c:pt idx="3">
                  <c:v>1128.7600000000002</c:v>
                </c:pt>
                <c:pt idx="4">
                  <c:v>805.83000000000027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73-4D3C-B24C-BE5A69BF10B5}"/>
            </c:ext>
          </c:extLst>
        </c:ser>
        <c:ser>
          <c:idx val="2"/>
          <c:order val="2"/>
          <c:tx>
            <c:strRef>
              <c:f>'Supplier Costs and Lead Time Ov'!$D$3</c:f>
              <c:strCache>
                <c:ptCount val="1"/>
                <c:pt idx="0">
                  <c:v>Sum of Lead times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'Supplier Costs and Lead Time Ov'!$A$4:$A$9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'Supplier Costs and Lead Time Ov'!$D$4:$D$9</c:f>
              <c:numCache>
                <c:formatCode>General</c:formatCode>
                <c:ptCount val="5"/>
                <c:pt idx="0">
                  <c:v>453</c:v>
                </c:pt>
                <c:pt idx="1">
                  <c:v>357</c:v>
                </c:pt>
                <c:pt idx="2">
                  <c:v>215</c:v>
                </c:pt>
                <c:pt idx="3">
                  <c:v>306</c:v>
                </c:pt>
                <c:pt idx="4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3-4D3C-B24C-BE5A69BF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008704"/>
        <c:axId val="540007064"/>
      </c:barChart>
      <c:catAx>
        <c:axId val="5400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07064"/>
        <c:crosses val="autoZero"/>
        <c:auto val="1"/>
        <c:lblAlgn val="ctr"/>
        <c:lblOffset val="100"/>
        <c:noMultiLvlLbl val="0"/>
      </c:catAx>
      <c:valAx>
        <c:axId val="540007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Revenue vs. Lead Time by SKU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supply_chain!$F$1</c:f>
              <c:strCache>
                <c:ptCount val="1"/>
                <c:pt idx="0">
                  <c:v>Revenue generated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supply_chain!$B$2:$B$101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  <c:pt idx="6">
                  <c:v>SKU6</c:v>
                </c:pt>
                <c:pt idx="7">
                  <c:v>SKU7</c:v>
                </c:pt>
                <c:pt idx="8">
                  <c:v>SKU8</c:v>
                </c:pt>
                <c:pt idx="9">
                  <c:v>SKU9</c:v>
                </c:pt>
                <c:pt idx="10">
                  <c:v>SKU10</c:v>
                </c:pt>
                <c:pt idx="11">
                  <c:v>SKU11</c:v>
                </c:pt>
                <c:pt idx="12">
                  <c:v>SKU12</c:v>
                </c:pt>
                <c:pt idx="13">
                  <c:v>SKU13</c:v>
                </c:pt>
                <c:pt idx="14">
                  <c:v>SKU14</c:v>
                </c:pt>
                <c:pt idx="15">
                  <c:v>SKU15</c:v>
                </c:pt>
                <c:pt idx="16">
                  <c:v>SKU16</c:v>
                </c:pt>
                <c:pt idx="17">
                  <c:v>SKU17</c:v>
                </c:pt>
                <c:pt idx="18">
                  <c:v>SKU18</c:v>
                </c:pt>
                <c:pt idx="19">
                  <c:v>SKU19</c:v>
                </c:pt>
                <c:pt idx="20">
                  <c:v>SKU20</c:v>
                </c:pt>
                <c:pt idx="21">
                  <c:v>SKU21</c:v>
                </c:pt>
                <c:pt idx="22">
                  <c:v>SKU22</c:v>
                </c:pt>
                <c:pt idx="23">
                  <c:v>SKU23</c:v>
                </c:pt>
                <c:pt idx="24">
                  <c:v>SKU24</c:v>
                </c:pt>
                <c:pt idx="25">
                  <c:v>SKU25</c:v>
                </c:pt>
                <c:pt idx="26">
                  <c:v>SKU26</c:v>
                </c:pt>
                <c:pt idx="27">
                  <c:v>SKU27</c:v>
                </c:pt>
                <c:pt idx="28">
                  <c:v>SKU28</c:v>
                </c:pt>
                <c:pt idx="29">
                  <c:v>SKU29</c:v>
                </c:pt>
                <c:pt idx="30">
                  <c:v>SKU30</c:v>
                </c:pt>
                <c:pt idx="31">
                  <c:v>SKU31</c:v>
                </c:pt>
                <c:pt idx="32">
                  <c:v>SKU32</c:v>
                </c:pt>
                <c:pt idx="33">
                  <c:v>SKU33</c:v>
                </c:pt>
                <c:pt idx="34">
                  <c:v>SKU34</c:v>
                </c:pt>
                <c:pt idx="35">
                  <c:v>SKU35</c:v>
                </c:pt>
                <c:pt idx="36">
                  <c:v>SKU36</c:v>
                </c:pt>
                <c:pt idx="37">
                  <c:v>SKU37</c:v>
                </c:pt>
                <c:pt idx="38">
                  <c:v>SKU38</c:v>
                </c:pt>
                <c:pt idx="39">
                  <c:v>SKU39</c:v>
                </c:pt>
                <c:pt idx="40">
                  <c:v>SKU40</c:v>
                </c:pt>
                <c:pt idx="41">
                  <c:v>SKU41</c:v>
                </c:pt>
                <c:pt idx="42">
                  <c:v>SKU42</c:v>
                </c:pt>
                <c:pt idx="43">
                  <c:v>SKU43</c:v>
                </c:pt>
                <c:pt idx="44">
                  <c:v>SKU44</c:v>
                </c:pt>
                <c:pt idx="45">
                  <c:v>SKU45</c:v>
                </c:pt>
                <c:pt idx="46">
                  <c:v>SKU46</c:v>
                </c:pt>
                <c:pt idx="47">
                  <c:v>SKU47</c:v>
                </c:pt>
                <c:pt idx="48">
                  <c:v>SKU48</c:v>
                </c:pt>
                <c:pt idx="49">
                  <c:v>SKU49</c:v>
                </c:pt>
                <c:pt idx="50">
                  <c:v>SKU50</c:v>
                </c:pt>
                <c:pt idx="51">
                  <c:v>SKU51</c:v>
                </c:pt>
                <c:pt idx="52">
                  <c:v>SKU52</c:v>
                </c:pt>
                <c:pt idx="53">
                  <c:v>SKU53</c:v>
                </c:pt>
                <c:pt idx="54">
                  <c:v>SKU54</c:v>
                </c:pt>
                <c:pt idx="55">
                  <c:v>SKU55</c:v>
                </c:pt>
                <c:pt idx="56">
                  <c:v>SKU56</c:v>
                </c:pt>
                <c:pt idx="57">
                  <c:v>SKU57</c:v>
                </c:pt>
                <c:pt idx="58">
                  <c:v>SKU58</c:v>
                </c:pt>
                <c:pt idx="59">
                  <c:v>SKU59</c:v>
                </c:pt>
                <c:pt idx="60">
                  <c:v>SKU60</c:v>
                </c:pt>
                <c:pt idx="61">
                  <c:v>SKU61</c:v>
                </c:pt>
                <c:pt idx="62">
                  <c:v>SKU62</c:v>
                </c:pt>
                <c:pt idx="63">
                  <c:v>SKU63</c:v>
                </c:pt>
                <c:pt idx="64">
                  <c:v>SKU64</c:v>
                </c:pt>
                <c:pt idx="65">
                  <c:v>SKU65</c:v>
                </c:pt>
                <c:pt idx="66">
                  <c:v>SKU66</c:v>
                </c:pt>
                <c:pt idx="67">
                  <c:v>SKU67</c:v>
                </c:pt>
                <c:pt idx="68">
                  <c:v>SKU68</c:v>
                </c:pt>
                <c:pt idx="69">
                  <c:v>SKU69</c:v>
                </c:pt>
                <c:pt idx="70">
                  <c:v>SKU70</c:v>
                </c:pt>
                <c:pt idx="71">
                  <c:v>SKU71</c:v>
                </c:pt>
                <c:pt idx="72">
                  <c:v>SKU72</c:v>
                </c:pt>
                <c:pt idx="73">
                  <c:v>SKU73</c:v>
                </c:pt>
                <c:pt idx="74">
                  <c:v>SKU74</c:v>
                </c:pt>
                <c:pt idx="75">
                  <c:v>SKU75</c:v>
                </c:pt>
                <c:pt idx="76">
                  <c:v>SKU76</c:v>
                </c:pt>
                <c:pt idx="77">
                  <c:v>SKU77</c:v>
                </c:pt>
                <c:pt idx="78">
                  <c:v>SKU78</c:v>
                </c:pt>
                <c:pt idx="79">
                  <c:v>SKU79</c:v>
                </c:pt>
                <c:pt idx="80">
                  <c:v>SKU80</c:v>
                </c:pt>
                <c:pt idx="81">
                  <c:v>SKU81</c:v>
                </c:pt>
                <c:pt idx="82">
                  <c:v>SKU82</c:v>
                </c:pt>
                <c:pt idx="83">
                  <c:v>SKU83</c:v>
                </c:pt>
                <c:pt idx="84">
                  <c:v>SKU84</c:v>
                </c:pt>
                <c:pt idx="85">
                  <c:v>SKU85</c:v>
                </c:pt>
                <c:pt idx="86">
                  <c:v>SKU86</c:v>
                </c:pt>
                <c:pt idx="87">
                  <c:v>SKU87</c:v>
                </c:pt>
                <c:pt idx="88">
                  <c:v>SKU88</c:v>
                </c:pt>
                <c:pt idx="89">
                  <c:v>SKU89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xVal>
          <c:yVal>
            <c:numRef>
              <c:f>supply_chain!$F$2:$F$101</c:f>
              <c:numCache>
                <c:formatCode>General</c:formatCode>
                <c:ptCount val="100"/>
                <c:pt idx="0">
                  <c:v>8662</c:v>
                </c:pt>
                <c:pt idx="1">
                  <c:v>7460.9</c:v>
                </c:pt>
                <c:pt idx="2">
                  <c:v>9577.75</c:v>
                </c:pt>
                <c:pt idx="3">
                  <c:v>7766.84</c:v>
                </c:pt>
                <c:pt idx="4">
                  <c:v>2686.51</c:v>
                </c:pt>
                <c:pt idx="5">
                  <c:v>2828.35</c:v>
                </c:pt>
                <c:pt idx="6">
                  <c:v>7823.48</c:v>
                </c:pt>
                <c:pt idx="7">
                  <c:v>8496.1</c:v>
                </c:pt>
                <c:pt idx="8">
                  <c:v>7517.36</c:v>
                </c:pt>
                <c:pt idx="9">
                  <c:v>4971.1499999999996</c:v>
                </c:pt>
                <c:pt idx="10">
                  <c:v>2330.9699999999998</c:v>
                </c:pt>
                <c:pt idx="11">
                  <c:v>6099.94</c:v>
                </c:pt>
                <c:pt idx="12">
                  <c:v>2873.74</c:v>
                </c:pt>
                <c:pt idx="13">
                  <c:v>4052.74</c:v>
                </c:pt>
                <c:pt idx="14">
                  <c:v>8653.57</c:v>
                </c:pt>
                <c:pt idx="15">
                  <c:v>5442.09</c:v>
                </c:pt>
                <c:pt idx="16">
                  <c:v>6453.8</c:v>
                </c:pt>
                <c:pt idx="17">
                  <c:v>2629.4</c:v>
                </c:pt>
                <c:pt idx="18">
                  <c:v>9364.67</c:v>
                </c:pt>
                <c:pt idx="19">
                  <c:v>2553.5</c:v>
                </c:pt>
                <c:pt idx="20">
                  <c:v>8128.03</c:v>
                </c:pt>
                <c:pt idx="21">
                  <c:v>7087.05</c:v>
                </c:pt>
                <c:pt idx="22">
                  <c:v>2390.81</c:v>
                </c:pt>
                <c:pt idx="23">
                  <c:v>8858.3700000000008</c:v>
                </c:pt>
                <c:pt idx="24">
                  <c:v>9049.08</c:v>
                </c:pt>
                <c:pt idx="25">
                  <c:v>2174.7800000000002</c:v>
                </c:pt>
                <c:pt idx="26">
                  <c:v>3716.49</c:v>
                </c:pt>
                <c:pt idx="27">
                  <c:v>2686.46</c:v>
                </c:pt>
                <c:pt idx="28">
                  <c:v>6117.32</c:v>
                </c:pt>
                <c:pt idx="29">
                  <c:v>8318.9</c:v>
                </c:pt>
                <c:pt idx="30">
                  <c:v>2766.34</c:v>
                </c:pt>
                <c:pt idx="31">
                  <c:v>9655.14</c:v>
                </c:pt>
                <c:pt idx="32">
                  <c:v>9571.5499999999993</c:v>
                </c:pt>
                <c:pt idx="33">
                  <c:v>5150</c:v>
                </c:pt>
                <c:pt idx="34">
                  <c:v>9061.7099999999991</c:v>
                </c:pt>
                <c:pt idx="35">
                  <c:v>6541.33</c:v>
                </c:pt>
                <c:pt idx="36">
                  <c:v>7573.4</c:v>
                </c:pt>
                <c:pt idx="37">
                  <c:v>2438.34</c:v>
                </c:pt>
                <c:pt idx="38">
                  <c:v>9692.32</c:v>
                </c:pt>
                <c:pt idx="39">
                  <c:v>1912.47</c:v>
                </c:pt>
                <c:pt idx="40">
                  <c:v>5724.96</c:v>
                </c:pt>
                <c:pt idx="41">
                  <c:v>5521.21</c:v>
                </c:pt>
                <c:pt idx="42">
                  <c:v>1839.61</c:v>
                </c:pt>
                <c:pt idx="43">
                  <c:v>5737.43</c:v>
                </c:pt>
                <c:pt idx="44">
                  <c:v>7152.29</c:v>
                </c:pt>
                <c:pt idx="45">
                  <c:v>5267.96</c:v>
                </c:pt>
                <c:pt idx="46">
                  <c:v>2556.77</c:v>
                </c:pt>
                <c:pt idx="47">
                  <c:v>7089.47</c:v>
                </c:pt>
                <c:pt idx="48">
                  <c:v>7397.07</c:v>
                </c:pt>
                <c:pt idx="49">
                  <c:v>8001.61</c:v>
                </c:pt>
                <c:pt idx="50">
                  <c:v>5910.89</c:v>
                </c:pt>
                <c:pt idx="51">
                  <c:v>9866.4699999999993</c:v>
                </c:pt>
                <c:pt idx="52">
                  <c:v>9435.76</c:v>
                </c:pt>
                <c:pt idx="53">
                  <c:v>8232.33</c:v>
                </c:pt>
                <c:pt idx="54">
                  <c:v>6088.02</c:v>
                </c:pt>
                <c:pt idx="55">
                  <c:v>2925.68</c:v>
                </c:pt>
                <c:pt idx="56">
                  <c:v>4767.0200000000004</c:v>
                </c:pt>
                <c:pt idx="57">
                  <c:v>1605.87</c:v>
                </c:pt>
                <c:pt idx="58">
                  <c:v>2021.15</c:v>
                </c:pt>
                <c:pt idx="59">
                  <c:v>1061.6199999999999</c:v>
                </c:pt>
                <c:pt idx="60">
                  <c:v>8864.08</c:v>
                </c:pt>
                <c:pt idx="61">
                  <c:v>6885.59</c:v>
                </c:pt>
                <c:pt idx="62">
                  <c:v>3899.75</c:v>
                </c:pt>
                <c:pt idx="63">
                  <c:v>4256.95</c:v>
                </c:pt>
                <c:pt idx="64">
                  <c:v>8458.73</c:v>
                </c:pt>
                <c:pt idx="65">
                  <c:v>8354.58</c:v>
                </c:pt>
                <c:pt idx="66">
                  <c:v>8367.7199999999993</c:v>
                </c:pt>
                <c:pt idx="67">
                  <c:v>9473.7999999999993</c:v>
                </c:pt>
                <c:pt idx="68">
                  <c:v>3550.22</c:v>
                </c:pt>
                <c:pt idx="69">
                  <c:v>1752.38</c:v>
                </c:pt>
                <c:pt idx="70">
                  <c:v>7014.89</c:v>
                </c:pt>
                <c:pt idx="71">
                  <c:v>8180.34</c:v>
                </c:pt>
                <c:pt idx="72">
                  <c:v>2633.12</c:v>
                </c:pt>
                <c:pt idx="73">
                  <c:v>7910.89</c:v>
                </c:pt>
                <c:pt idx="74">
                  <c:v>5709.95</c:v>
                </c:pt>
                <c:pt idx="75">
                  <c:v>1889.07</c:v>
                </c:pt>
                <c:pt idx="76">
                  <c:v>5328.38</c:v>
                </c:pt>
                <c:pt idx="77">
                  <c:v>2483.7600000000002</c:v>
                </c:pt>
                <c:pt idx="78">
                  <c:v>1292.46</c:v>
                </c:pt>
                <c:pt idx="79">
                  <c:v>7888.72</c:v>
                </c:pt>
                <c:pt idx="80">
                  <c:v>8651.67</c:v>
                </c:pt>
                <c:pt idx="81">
                  <c:v>4384.41</c:v>
                </c:pt>
                <c:pt idx="82">
                  <c:v>2943.38</c:v>
                </c:pt>
                <c:pt idx="83">
                  <c:v>2411.75</c:v>
                </c:pt>
                <c:pt idx="84">
                  <c:v>2048.29</c:v>
                </c:pt>
                <c:pt idx="85">
                  <c:v>8684.61</c:v>
                </c:pt>
                <c:pt idx="86">
                  <c:v>1229.5899999999999</c:v>
                </c:pt>
                <c:pt idx="87">
                  <c:v>5133.8500000000004</c:v>
                </c:pt>
                <c:pt idx="88">
                  <c:v>9444.74</c:v>
                </c:pt>
                <c:pt idx="89">
                  <c:v>5924.68</c:v>
                </c:pt>
                <c:pt idx="90">
                  <c:v>9592.6299999999992</c:v>
                </c:pt>
                <c:pt idx="91">
                  <c:v>1935.21</c:v>
                </c:pt>
                <c:pt idx="92">
                  <c:v>2100.13</c:v>
                </c:pt>
                <c:pt idx="93">
                  <c:v>4531.3999999999996</c:v>
                </c:pt>
                <c:pt idx="94">
                  <c:v>7888.36</c:v>
                </c:pt>
                <c:pt idx="95">
                  <c:v>7386.36</c:v>
                </c:pt>
                <c:pt idx="96">
                  <c:v>7698.42</c:v>
                </c:pt>
                <c:pt idx="97">
                  <c:v>4370.92</c:v>
                </c:pt>
                <c:pt idx="98">
                  <c:v>8525.9500000000007</c:v>
                </c:pt>
                <c:pt idx="99">
                  <c:v>9185.19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2D-4DD7-BE22-7265A4604A44}"/>
            </c:ext>
          </c:extLst>
        </c:ser>
        <c:ser>
          <c:idx val="1"/>
          <c:order val="1"/>
          <c:tx>
            <c:strRef>
              <c:f>supply_chain!$I$1</c:f>
              <c:strCache>
                <c:ptCount val="1"/>
                <c:pt idx="0">
                  <c:v>Lead times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supply_chain!$B$2:$B$101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  <c:pt idx="6">
                  <c:v>SKU6</c:v>
                </c:pt>
                <c:pt idx="7">
                  <c:v>SKU7</c:v>
                </c:pt>
                <c:pt idx="8">
                  <c:v>SKU8</c:v>
                </c:pt>
                <c:pt idx="9">
                  <c:v>SKU9</c:v>
                </c:pt>
                <c:pt idx="10">
                  <c:v>SKU10</c:v>
                </c:pt>
                <c:pt idx="11">
                  <c:v>SKU11</c:v>
                </c:pt>
                <c:pt idx="12">
                  <c:v>SKU12</c:v>
                </c:pt>
                <c:pt idx="13">
                  <c:v>SKU13</c:v>
                </c:pt>
                <c:pt idx="14">
                  <c:v>SKU14</c:v>
                </c:pt>
                <c:pt idx="15">
                  <c:v>SKU15</c:v>
                </c:pt>
                <c:pt idx="16">
                  <c:v>SKU16</c:v>
                </c:pt>
                <c:pt idx="17">
                  <c:v>SKU17</c:v>
                </c:pt>
                <c:pt idx="18">
                  <c:v>SKU18</c:v>
                </c:pt>
                <c:pt idx="19">
                  <c:v>SKU19</c:v>
                </c:pt>
                <c:pt idx="20">
                  <c:v>SKU20</c:v>
                </c:pt>
                <c:pt idx="21">
                  <c:v>SKU21</c:v>
                </c:pt>
                <c:pt idx="22">
                  <c:v>SKU22</c:v>
                </c:pt>
                <c:pt idx="23">
                  <c:v>SKU23</c:v>
                </c:pt>
                <c:pt idx="24">
                  <c:v>SKU24</c:v>
                </c:pt>
                <c:pt idx="25">
                  <c:v>SKU25</c:v>
                </c:pt>
                <c:pt idx="26">
                  <c:v>SKU26</c:v>
                </c:pt>
                <c:pt idx="27">
                  <c:v>SKU27</c:v>
                </c:pt>
                <c:pt idx="28">
                  <c:v>SKU28</c:v>
                </c:pt>
                <c:pt idx="29">
                  <c:v>SKU29</c:v>
                </c:pt>
                <c:pt idx="30">
                  <c:v>SKU30</c:v>
                </c:pt>
                <c:pt idx="31">
                  <c:v>SKU31</c:v>
                </c:pt>
                <c:pt idx="32">
                  <c:v>SKU32</c:v>
                </c:pt>
                <c:pt idx="33">
                  <c:v>SKU33</c:v>
                </c:pt>
                <c:pt idx="34">
                  <c:v>SKU34</c:v>
                </c:pt>
                <c:pt idx="35">
                  <c:v>SKU35</c:v>
                </c:pt>
                <c:pt idx="36">
                  <c:v>SKU36</c:v>
                </c:pt>
                <c:pt idx="37">
                  <c:v>SKU37</c:v>
                </c:pt>
                <c:pt idx="38">
                  <c:v>SKU38</c:v>
                </c:pt>
                <c:pt idx="39">
                  <c:v>SKU39</c:v>
                </c:pt>
                <c:pt idx="40">
                  <c:v>SKU40</c:v>
                </c:pt>
                <c:pt idx="41">
                  <c:v>SKU41</c:v>
                </c:pt>
                <c:pt idx="42">
                  <c:v>SKU42</c:v>
                </c:pt>
                <c:pt idx="43">
                  <c:v>SKU43</c:v>
                </c:pt>
                <c:pt idx="44">
                  <c:v>SKU44</c:v>
                </c:pt>
                <c:pt idx="45">
                  <c:v>SKU45</c:v>
                </c:pt>
                <c:pt idx="46">
                  <c:v>SKU46</c:v>
                </c:pt>
                <c:pt idx="47">
                  <c:v>SKU47</c:v>
                </c:pt>
                <c:pt idx="48">
                  <c:v>SKU48</c:v>
                </c:pt>
                <c:pt idx="49">
                  <c:v>SKU49</c:v>
                </c:pt>
                <c:pt idx="50">
                  <c:v>SKU50</c:v>
                </c:pt>
                <c:pt idx="51">
                  <c:v>SKU51</c:v>
                </c:pt>
                <c:pt idx="52">
                  <c:v>SKU52</c:v>
                </c:pt>
                <c:pt idx="53">
                  <c:v>SKU53</c:v>
                </c:pt>
                <c:pt idx="54">
                  <c:v>SKU54</c:v>
                </c:pt>
                <c:pt idx="55">
                  <c:v>SKU55</c:v>
                </c:pt>
                <c:pt idx="56">
                  <c:v>SKU56</c:v>
                </c:pt>
                <c:pt idx="57">
                  <c:v>SKU57</c:v>
                </c:pt>
                <c:pt idx="58">
                  <c:v>SKU58</c:v>
                </c:pt>
                <c:pt idx="59">
                  <c:v>SKU59</c:v>
                </c:pt>
                <c:pt idx="60">
                  <c:v>SKU60</c:v>
                </c:pt>
                <c:pt idx="61">
                  <c:v>SKU61</c:v>
                </c:pt>
                <c:pt idx="62">
                  <c:v>SKU62</c:v>
                </c:pt>
                <c:pt idx="63">
                  <c:v>SKU63</c:v>
                </c:pt>
                <c:pt idx="64">
                  <c:v>SKU64</c:v>
                </c:pt>
                <c:pt idx="65">
                  <c:v>SKU65</c:v>
                </c:pt>
                <c:pt idx="66">
                  <c:v>SKU66</c:v>
                </c:pt>
                <c:pt idx="67">
                  <c:v>SKU67</c:v>
                </c:pt>
                <c:pt idx="68">
                  <c:v>SKU68</c:v>
                </c:pt>
                <c:pt idx="69">
                  <c:v>SKU69</c:v>
                </c:pt>
                <c:pt idx="70">
                  <c:v>SKU70</c:v>
                </c:pt>
                <c:pt idx="71">
                  <c:v>SKU71</c:v>
                </c:pt>
                <c:pt idx="72">
                  <c:v>SKU72</c:v>
                </c:pt>
                <c:pt idx="73">
                  <c:v>SKU73</c:v>
                </c:pt>
                <c:pt idx="74">
                  <c:v>SKU74</c:v>
                </c:pt>
                <c:pt idx="75">
                  <c:v>SKU75</c:v>
                </c:pt>
                <c:pt idx="76">
                  <c:v>SKU76</c:v>
                </c:pt>
                <c:pt idx="77">
                  <c:v>SKU77</c:v>
                </c:pt>
                <c:pt idx="78">
                  <c:v>SKU78</c:v>
                </c:pt>
                <c:pt idx="79">
                  <c:v>SKU79</c:v>
                </c:pt>
                <c:pt idx="80">
                  <c:v>SKU80</c:v>
                </c:pt>
                <c:pt idx="81">
                  <c:v>SKU81</c:v>
                </c:pt>
                <c:pt idx="82">
                  <c:v>SKU82</c:v>
                </c:pt>
                <c:pt idx="83">
                  <c:v>SKU83</c:v>
                </c:pt>
                <c:pt idx="84">
                  <c:v>SKU84</c:v>
                </c:pt>
                <c:pt idx="85">
                  <c:v>SKU85</c:v>
                </c:pt>
                <c:pt idx="86">
                  <c:v>SKU86</c:v>
                </c:pt>
                <c:pt idx="87">
                  <c:v>SKU87</c:v>
                </c:pt>
                <c:pt idx="88">
                  <c:v>SKU88</c:v>
                </c:pt>
                <c:pt idx="89">
                  <c:v>SKU89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xVal>
          <c:yVal>
            <c:numRef>
              <c:f>supply_chain!$I$2:$I$101</c:f>
              <c:numCache>
                <c:formatCode>General</c:formatCode>
                <c:ptCount val="100"/>
                <c:pt idx="0">
                  <c:v>7</c:v>
                </c:pt>
                <c:pt idx="1">
                  <c:v>30</c:v>
                </c:pt>
                <c:pt idx="2">
                  <c:v>10</c:v>
                </c:pt>
                <c:pt idx="3">
                  <c:v>13</c:v>
                </c:pt>
                <c:pt idx="4">
                  <c:v>3</c:v>
                </c:pt>
                <c:pt idx="5">
                  <c:v>27</c:v>
                </c:pt>
                <c:pt idx="6">
                  <c:v>15</c:v>
                </c:pt>
                <c:pt idx="7">
                  <c:v>17</c:v>
                </c:pt>
                <c:pt idx="8">
                  <c:v>10</c:v>
                </c:pt>
                <c:pt idx="9">
                  <c:v>27</c:v>
                </c:pt>
                <c:pt idx="10">
                  <c:v>13</c:v>
                </c:pt>
                <c:pt idx="11">
                  <c:v>23</c:v>
                </c:pt>
                <c:pt idx="12">
                  <c:v>30</c:v>
                </c:pt>
                <c:pt idx="13">
                  <c:v>8</c:v>
                </c:pt>
                <c:pt idx="14">
                  <c:v>29</c:v>
                </c:pt>
                <c:pt idx="15">
                  <c:v>8</c:v>
                </c:pt>
                <c:pt idx="16">
                  <c:v>5</c:v>
                </c:pt>
                <c:pt idx="17">
                  <c:v>17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25</c:v>
                </c:pt>
                <c:pt idx="22">
                  <c:v>1</c:v>
                </c:pt>
                <c:pt idx="23">
                  <c:v>5</c:v>
                </c:pt>
                <c:pt idx="24">
                  <c:v>26</c:v>
                </c:pt>
                <c:pt idx="25">
                  <c:v>11</c:v>
                </c:pt>
                <c:pt idx="26">
                  <c:v>16</c:v>
                </c:pt>
                <c:pt idx="27">
                  <c:v>9</c:v>
                </c:pt>
                <c:pt idx="28">
                  <c:v>15</c:v>
                </c:pt>
                <c:pt idx="29">
                  <c:v>5</c:v>
                </c:pt>
                <c:pt idx="30">
                  <c:v>26</c:v>
                </c:pt>
                <c:pt idx="31">
                  <c:v>17</c:v>
                </c:pt>
                <c:pt idx="32">
                  <c:v>13</c:v>
                </c:pt>
                <c:pt idx="33">
                  <c:v>17</c:v>
                </c:pt>
                <c:pt idx="34">
                  <c:v>26</c:v>
                </c:pt>
                <c:pt idx="35">
                  <c:v>27</c:v>
                </c:pt>
                <c:pt idx="36">
                  <c:v>23</c:v>
                </c:pt>
                <c:pt idx="37">
                  <c:v>8</c:v>
                </c:pt>
                <c:pt idx="38">
                  <c:v>1</c:v>
                </c:pt>
                <c:pt idx="39">
                  <c:v>29</c:v>
                </c:pt>
                <c:pt idx="40">
                  <c:v>20</c:v>
                </c:pt>
                <c:pt idx="41">
                  <c:v>19</c:v>
                </c:pt>
                <c:pt idx="42">
                  <c:v>27</c:v>
                </c:pt>
                <c:pt idx="43">
                  <c:v>29</c:v>
                </c:pt>
                <c:pt idx="44">
                  <c:v>19</c:v>
                </c:pt>
                <c:pt idx="45">
                  <c:v>7</c:v>
                </c:pt>
                <c:pt idx="46">
                  <c:v>29</c:v>
                </c:pt>
                <c:pt idx="47">
                  <c:v>15</c:v>
                </c:pt>
                <c:pt idx="48">
                  <c:v>16</c:v>
                </c:pt>
                <c:pt idx="49">
                  <c:v>24</c:v>
                </c:pt>
                <c:pt idx="50">
                  <c:v>23</c:v>
                </c:pt>
                <c:pt idx="51">
                  <c:v>4</c:v>
                </c:pt>
                <c:pt idx="52">
                  <c:v>11</c:v>
                </c:pt>
                <c:pt idx="53">
                  <c:v>25</c:v>
                </c:pt>
                <c:pt idx="54">
                  <c:v>22</c:v>
                </c:pt>
                <c:pt idx="55">
                  <c:v>11</c:v>
                </c:pt>
                <c:pt idx="56">
                  <c:v>23</c:v>
                </c:pt>
                <c:pt idx="57">
                  <c:v>18</c:v>
                </c:pt>
                <c:pt idx="58">
                  <c:v>5</c:v>
                </c:pt>
                <c:pt idx="59">
                  <c:v>16</c:v>
                </c:pt>
                <c:pt idx="60">
                  <c:v>27</c:v>
                </c:pt>
                <c:pt idx="61">
                  <c:v>23</c:v>
                </c:pt>
                <c:pt idx="62">
                  <c:v>2</c:v>
                </c:pt>
                <c:pt idx="63">
                  <c:v>19</c:v>
                </c:pt>
                <c:pt idx="64">
                  <c:v>27</c:v>
                </c:pt>
                <c:pt idx="65">
                  <c:v>24</c:v>
                </c:pt>
                <c:pt idx="66">
                  <c:v>17</c:v>
                </c:pt>
                <c:pt idx="67">
                  <c:v>9</c:v>
                </c:pt>
                <c:pt idx="68">
                  <c:v>8</c:v>
                </c:pt>
                <c:pt idx="69">
                  <c:v>1</c:v>
                </c:pt>
                <c:pt idx="70">
                  <c:v>12</c:v>
                </c:pt>
                <c:pt idx="71">
                  <c:v>2</c:v>
                </c:pt>
                <c:pt idx="72">
                  <c:v>29</c:v>
                </c:pt>
                <c:pt idx="73">
                  <c:v>25</c:v>
                </c:pt>
                <c:pt idx="74">
                  <c:v>6</c:v>
                </c:pt>
                <c:pt idx="75">
                  <c:v>20</c:v>
                </c:pt>
                <c:pt idx="76">
                  <c:v>1</c:v>
                </c:pt>
                <c:pt idx="77">
                  <c:v>28</c:v>
                </c:pt>
                <c:pt idx="78">
                  <c:v>4</c:v>
                </c:pt>
                <c:pt idx="79">
                  <c:v>25</c:v>
                </c:pt>
                <c:pt idx="80">
                  <c:v>14</c:v>
                </c:pt>
                <c:pt idx="81">
                  <c:v>6</c:v>
                </c:pt>
                <c:pt idx="82">
                  <c:v>19</c:v>
                </c:pt>
                <c:pt idx="83">
                  <c:v>24</c:v>
                </c:pt>
                <c:pt idx="84">
                  <c:v>26</c:v>
                </c:pt>
                <c:pt idx="85">
                  <c:v>18</c:v>
                </c:pt>
                <c:pt idx="86">
                  <c:v>14</c:v>
                </c:pt>
                <c:pt idx="87">
                  <c:v>7</c:v>
                </c:pt>
                <c:pt idx="88">
                  <c:v>18</c:v>
                </c:pt>
                <c:pt idx="89">
                  <c:v>1</c:v>
                </c:pt>
                <c:pt idx="90">
                  <c:v>18</c:v>
                </c:pt>
                <c:pt idx="91">
                  <c:v>22</c:v>
                </c:pt>
                <c:pt idx="92">
                  <c:v>25</c:v>
                </c:pt>
                <c:pt idx="93">
                  <c:v>17</c:v>
                </c:pt>
                <c:pt idx="94">
                  <c:v>26</c:v>
                </c:pt>
                <c:pt idx="95">
                  <c:v>14</c:v>
                </c:pt>
                <c:pt idx="96">
                  <c:v>2</c:v>
                </c:pt>
                <c:pt idx="97">
                  <c:v>19</c:v>
                </c:pt>
                <c:pt idx="98">
                  <c:v>1</c:v>
                </c:pt>
                <c:pt idx="9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2D-4DD7-BE22-7265A460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584896"/>
        <c:axId val="546593096"/>
      </c:scatterChart>
      <c:valAx>
        <c:axId val="54658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93096"/>
        <c:crosses val="autoZero"/>
        <c:crossBetween val="midCat"/>
      </c:valAx>
      <c:valAx>
        <c:axId val="54659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8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Shipping Costs and Times by Carrier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supply_chain!$L$1</c:f>
              <c:strCache>
                <c:ptCount val="1"/>
                <c:pt idx="0">
                  <c:v>Shipping carriers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supply_chain!$K$2:$K$101</c:f>
              <c:numCache>
                <c:formatCode>General</c:formatCode>
                <c:ptCount val="100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  <c:pt idx="8">
                  <c:v>7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7</c:v>
                </c:pt>
                <c:pt idx="16">
                  <c:v>1</c:v>
                </c:pt>
                <c:pt idx="17">
                  <c:v>9</c:v>
                </c:pt>
                <c:pt idx="18">
                  <c:v>8</c:v>
                </c:pt>
                <c:pt idx="19">
                  <c:v>3</c:v>
                </c:pt>
                <c:pt idx="20">
                  <c:v>6</c:v>
                </c:pt>
                <c:pt idx="21">
                  <c:v>6</c:v>
                </c:pt>
                <c:pt idx="22">
                  <c:v>10</c:v>
                </c:pt>
                <c:pt idx="23">
                  <c:v>7</c:v>
                </c:pt>
                <c:pt idx="24">
                  <c:v>8</c:v>
                </c:pt>
                <c:pt idx="25">
                  <c:v>3</c:v>
                </c:pt>
                <c:pt idx="26">
                  <c:v>4</c:v>
                </c:pt>
                <c:pt idx="27">
                  <c:v>8</c:v>
                </c:pt>
                <c:pt idx="28">
                  <c:v>4</c:v>
                </c:pt>
                <c:pt idx="29">
                  <c:v>7</c:v>
                </c:pt>
                <c:pt idx="30">
                  <c:v>7</c:v>
                </c:pt>
                <c:pt idx="31">
                  <c:v>4</c:v>
                </c:pt>
                <c:pt idx="32">
                  <c:v>4</c:v>
                </c:pt>
                <c:pt idx="33">
                  <c:v>9</c:v>
                </c:pt>
                <c:pt idx="34">
                  <c:v>7</c:v>
                </c:pt>
                <c:pt idx="35">
                  <c:v>8</c:v>
                </c:pt>
                <c:pt idx="36">
                  <c:v>3</c:v>
                </c:pt>
                <c:pt idx="37">
                  <c:v>9</c:v>
                </c:pt>
                <c:pt idx="38">
                  <c:v>5</c:v>
                </c:pt>
                <c:pt idx="39">
                  <c:v>3</c:v>
                </c:pt>
                <c:pt idx="40">
                  <c:v>8</c:v>
                </c:pt>
                <c:pt idx="41">
                  <c:v>8</c:v>
                </c:pt>
                <c:pt idx="42">
                  <c:v>4</c:v>
                </c:pt>
                <c:pt idx="43">
                  <c:v>9</c:v>
                </c:pt>
                <c:pt idx="44">
                  <c:v>6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3</c:v>
                </c:pt>
                <c:pt idx="49">
                  <c:v>6</c:v>
                </c:pt>
                <c:pt idx="50">
                  <c:v>10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3</c:v>
                </c:pt>
                <c:pt idx="55">
                  <c:v>5</c:v>
                </c:pt>
                <c:pt idx="56">
                  <c:v>5</c:v>
                </c:pt>
                <c:pt idx="57">
                  <c:v>1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7</c:v>
                </c:pt>
                <c:pt idx="62">
                  <c:v>7</c:v>
                </c:pt>
                <c:pt idx="63">
                  <c:v>4</c:v>
                </c:pt>
                <c:pt idx="64">
                  <c:v>6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8</c:v>
                </c:pt>
                <c:pt idx="69">
                  <c:v>3</c:v>
                </c:pt>
                <c:pt idx="70">
                  <c:v>4</c:v>
                </c:pt>
                <c:pt idx="71">
                  <c:v>6</c:v>
                </c:pt>
                <c:pt idx="72">
                  <c:v>9</c:v>
                </c:pt>
                <c:pt idx="73">
                  <c:v>5</c:v>
                </c:pt>
                <c:pt idx="74">
                  <c:v>5</c:v>
                </c:pt>
                <c:pt idx="75">
                  <c:v>10</c:v>
                </c:pt>
                <c:pt idx="76">
                  <c:v>10</c:v>
                </c:pt>
                <c:pt idx="77">
                  <c:v>4</c:v>
                </c:pt>
                <c:pt idx="78">
                  <c:v>5</c:v>
                </c:pt>
                <c:pt idx="79">
                  <c:v>1</c:v>
                </c:pt>
                <c:pt idx="80">
                  <c:v>2</c:v>
                </c:pt>
                <c:pt idx="81">
                  <c:v>5</c:v>
                </c:pt>
                <c:pt idx="82">
                  <c:v>1</c:v>
                </c:pt>
                <c:pt idx="83">
                  <c:v>8</c:v>
                </c:pt>
                <c:pt idx="84">
                  <c:v>10</c:v>
                </c:pt>
                <c:pt idx="85">
                  <c:v>2</c:v>
                </c:pt>
                <c:pt idx="86">
                  <c:v>6</c:v>
                </c:pt>
                <c:pt idx="87">
                  <c:v>10</c:v>
                </c:pt>
                <c:pt idx="88">
                  <c:v>7</c:v>
                </c:pt>
                <c:pt idx="89">
                  <c:v>8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1</c:v>
                </c:pt>
                <c:pt idx="94">
                  <c:v>9</c:v>
                </c:pt>
                <c:pt idx="95">
                  <c:v>9</c:v>
                </c:pt>
                <c:pt idx="96">
                  <c:v>3</c:v>
                </c:pt>
                <c:pt idx="97">
                  <c:v>9</c:v>
                </c:pt>
                <c:pt idx="98">
                  <c:v>7</c:v>
                </c:pt>
                <c:pt idx="99">
                  <c:v>6</c:v>
                </c:pt>
              </c:numCache>
            </c:numRef>
          </c:xVal>
          <c:yVal>
            <c:numRef>
              <c:f>supply_chain!$L$2:$L$101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B1-4327-B927-7EA91075C03F}"/>
            </c:ext>
          </c:extLst>
        </c:ser>
        <c:ser>
          <c:idx val="1"/>
          <c:order val="1"/>
          <c:tx>
            <c:strRef>
              <c:f>supply_chain!$M$1</c:f>
              <c:strCache>
                <c:ptCount val="1"/>
                <c:pt idx="0">
                  <c:v>Shipping costs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supply_chain!$K$2:$K$101</c:f>
              <c:numCache>
                <c:formatCode>General</c:formatCode>
                <c:ptCount val="100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  <c:pt idx="8">
                  <c:v>7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7</c:v>
                </c:pt>
                <c:pt idx="16">
                  <c:v>1</c:v>
                </c:pt>
                <c:pt idx="17">
                  <c:v>9</c:v>
                </c:pt>
                <c:pt idx="18">
                  <c:v>8</c:v>
                </c:pt>
                <c:pt idx="19">
                  <c:v>3</c:v>
                </c:pt>
                <c:pt idx="20">
                  <c:v>6</c:v>
                </c:pt>
                <c:pt idx="21">
                  <c:v>6</c:v>
                </c:pt>
                <c:pt idx="22">
                  <c:v>10</c:v>
                </c:pt>
                <c:pt idx="23">
                  <c:v>7</c:v>
                </c:pt>
                <c:pt idx="24">
                  <c:v>8</c:v>
                </c:pt>
                <c:pt idx="25">
                  <c:v>3</c:v>
                </c:pt>
                <c:pt idx="26">
                  <c:v>4</c:v>
                </c:pt>
                <c:pt idx="27">
                  <c:v>8</c:v>
                </c:pt>
                <c:pt idx="28">
                  <c:v>4</c:v>
                </c:pt>
                <c:pt idx="29">
                  <c:v>7</c:v>
                </c:pt>
                <c:pt idx="30">
                  <c:v>7</c:v>
                </c:pt>
                <c:pt idx="31">
                  <c:v>4</c:v>
                </c:pt>
                <c:pt idx="32">
                  <c:v>4</c:v>
                </c:pt>
                <c:pt idx="33">
                  <c:v>9</c:v>
                </c:pt>
                <c:pt idx="34">
                  <c:v>7</c:v>
                </c:pt>
                <c:pt idx="35">
                  <c:v>8</c:v>
                </c:pt>
                <c:pt idx="36">
                  <c:v>3</c:v>
                </c:pt>
                <c:pt idx="37">
                  <c:v>9</c:v>
                </c:pt>
                <c:pt idx="38">
                  <c:v>5</c:v>
                </c:pt>
                <c:pt idx="39">
                  <c:v>3</c:v>
                </c:pt>
                <c:pt idx="40">
                  <c:v>8</c:v>
                </c:pt>
                <c:pt idx="41">
                  <c:v>8</c:v>
                </c:pt>
                <c:pt idx="42">
                  <c:v>4</c:v>
                </c:pt>
                <c:pt idx="43">
                  <c:v>9</c:v>
                </c:pt>
                <c:pt idx="44">
                  <c:v>6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3</c:v>
                </c:pt>
                <c:pt idx="49">
                  <c:v>6</c:v>
                </c:pt>
                <c:pt idx="50">
                  <c:v>10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3</c:v>
                </c:pt>
                <c:pt idx="55">
                  <c:v>5</c:v>
                </c:pt>
                <c:pt idx="56">
                  <c:v>5</c:v>
                </c:pt>
                <c:pt idx="57">
                  <c:v>1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7</c:v>
                </c:pt>
                <c:pt idx="62">
                  <c:v>7</c:v>
                </c:pt>
                <c:pt idx="63">
                  <c:v>4</c:v>
                </c:pt>
                <c:pt idx="64">
                  <c:v>6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8</c:v>
                </c:pt>
                <c:pt idx="69">
                  <c:v>3</c:v>
                </c:pt>
                <c:pt idx="70">
                  <c:v>4</c:v>
                </c:pt>
                <c:pt idx="71">
                  <c:v>6</c:v>
                </c:pt>
                <c:pt idx="72">
                  <c:v>9</c:v>
                </c:pt>
                <c:pt idx="73">
                  <c:v>5</c:v>
                </c:pt>
                <c:pt idx="74">
                  <c:v>5</c:v>
                </c:pt>
                <c:pt idx="75">
                  <c:v>10</c:v>
                </c:pt>
                <c:pt idx="76">
                  <c:v>10</c:v>
                </c:pt>
                <c:pt idx="77">
                  <c:v>4</c:v>
                </c:pt>
                <c:pt idx="78">
                  <c:v>5</c:v>
                </c:pt>
                <c:pt idx="79">
                  <c:v>1</c:v>
                </c:pt>
                <c:pt idx="80">
                  <c:v>2</c:v>
                </c:pt>
                <c:pt idx="81">
                  <c:v>5</c:v>
                </c:pt>
                <c:pt idx="82">
                  <c:v>1</c:v>
                </c:pt>
                <c:pt idx="83">
                  <c:v>8</c:v>
                </c:pt>
                <c:pt idx="84">
                  <c:v>10</c:v>
                </c:pt>
                <c:pt idx="85">
                  <c:v>2</c:v>
                </c:pt>
                <c:pt idx="86">
                  <c:v>6</c:v>
                </c:pt>
                <c:pt idx="87">
                  <c:v>10</c:v>
                </c:pt>
                <c:pt idx="88">
                  <c:v>7</c:v>
                </c:pt>
                <c:pt idx="89">
                  <c:v>8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1</c:v>
                </c:pt>
                <c:pt idx="94">
                  <c:v>9</c:v>
                </c:pt>
                <c:pt idx="95">
                  <c:v>9</c:v>
                </c:pt>
                <c:pt idx="96">
                  <c:v>3</c:v>
                </c:pt>
                <c:pt idx="97">
                  <c:v>9</c:v>
                </c:pt>
                <c:pt idx="98">
                  <c:v>7</c:v>
                </c:pt>
                <c:pt idx="99">
                  <c:v>6</c:v>
                </c:pt>
              </c:numCache>
            </c:numRef>
          </c:xVal>
          <c:yVal>
            <c:numRef>
              <c:f>supply_chain!$M$2:$M$101</c:f>
              <c:numCache>
                <c:formatCode>General</c:formatCode>
                <c:ptCount val="100"/>
                <c:pt idx="0">
                  <c:v>2.96</c:v>
                </c:pt>
                <c:pt idx="1">
                  <c:v>9.7200000000000006</c:v>
                </c:pt>
                <c:pt idx="2">
                  <c:v>8.0500000000000007</c:v>
                </c:pt>
                <c:pt idx="3">
                  <c:v>1.73</c:v>
                </c:pt>
                <c:pt idx="4">
                  <c:v>3.89</c:v>
                </c:pt>
                <c:pt idx="5">
                  <c:v>4.4400000000000004</c:v>
                </c:pt>
                <c:pt idx="6">
                  <c:v>3.88</c:v>
                </c:pt>
                <c:pt idx="7">
                  <c:v>2.35</c:v>
                </c:pt>
                <c:pt idx="8">
                  <c:v>3.4</c:v>
                </c:pt>
                <c:pt idx="9">
                  <c:v>7.17</c:v>
                </c:pt>
                <c:pt idx="10">
                  <c:v>8.67</c:v>
                </c:pt>
                <c:pt idx="11">
                  <c:v>4.5199999999999996</c:v>
                </c:pt>
                <c:pt idx="12">
                  <c:v>1.33</c:v>
                </c:pt>
                <c:pt idx="13">
                  <c:v>9.5399999999999991</c:v>
                </c:pt>
                <c:pt idx="14">
                  <c:v>2.04</c:v>
                </c:pt>
                <c:pt idx="15">
                  <c:v>2.42</c:v>
                </c:pt>
                <c:pt idx="16">
                  <c:v>4.1900000000000004</c:v>
                </c:pt>
                <c:pt idx="17">
                  <c:v>3.59</c:v>
                </c:pt>
                <c:pt idx="18">
                  <c:v>4.34</c:v>
                </c:pt>
                <c:pt idx="19">
                  <c:v>4.74</c:v>
                </c:pt>
                <c:pt idx="20">
                  <c:v>8.8800000000000008</c:v>
                </c:pt>
                <c:pt idx="21">
                  <c:v>6.04</c:v>
                </c:pt>
                <c:pt idx="22">
                  <c:v>9.57</c:v>
                </c:pt>
                <c:pt idx="23">
                  <c:v>2.92</c:v>
                </c:pt>
                <c:pt idx="24">
                  <c:v>9.74</c:v>
                </c:pt>
                <c:pt idx="25">
                  <c:v>2.23</c:v>
                </c:pt>
                <c:pt idx="26">
                  <c:v>6.51</c:v>
                </c:pt>
                <c:pt idx="27">
                  <c:v>7.41</c:v>
                </c:pt>
                <c:pt idx="28">
                  <c:v>9.9</c:v>
                </c:pt>
                <c:pt idx="29">
                  <c:v>8.1</c:v>
                </c:pt>
                <c:pt idx="30">
                  <c:v>8.9499999999999993</c:v>
                </c:pt>
                <c:pt idx="31">
                  <c:v>2.68</c:v>
                </c:pt>
                <c:pt idx="32">
                  <c:v>6.6</c:v>
                </c:pt>
                <c:pt idx="33">
                  <c:v>4.8600000000000003</c:v>
                </c:pt>
                <c:pt idx="34">
                  <c:v>1.02</c:v>
                </c:pt>
                <c:pt idx="35">
                  <c:v>5.29</c:v>
                </c:pt>
                <c:pt idx="36">
                  <c:v>2.11</c:v>
                </c:pt>
                <c:pt idx="37">
                  <c:v>1.53</c:v>
                </c:pt>
                <c:pt idx="38">
                  <c:v>9.24</c:v>
                </c:pt>
                <c:pt idx="39">
                  <c:v>5.56</c:v>
                </c:pt>
                <c:pt idx="40">
                  <c:v>7.23</c:v>
                </c:pt>
                <c:pt idx="41">
                  <c:v>5.77</c:v>
                </c:pt>
                <c:pt idx="42">
                  <c:v>7.53</c:v>
                </c:pt>
                <c:pt idx="43">
                  <c:v>3.69</c:v>
                </c:pt>
                <c:pt idx="44">
                  <c:v>7.58</c:v>
                </c:pt>
                <c:pt idx="45">
                  <c:v>5.22</c:v>
                </c:pt>
                <c:pt idx="46">
                  <c:v>4.07</c:v>
                </c:pt>
                <c:pt idx="47">
                  <c:v>8.98</c:v>
                </c:pt>
                <c:pt idx="48">
                  <c:v>7.1</c:v>
                </c:pt>
                <c:pt idx="49">
                  <c:v>2.5099999999999998</c:v>
                </c:pt>
                <c:pt idx="50">
                  <c:v>6.25</c:v>
                </c:pt>
                <c:pt idx="51">
                  <c:v>4.78</c:v>
                </c:pt>
                <c:pt idx="52">
                  <c:v>8.6300000000000008</c:v>
                </c:pt>
                <c:pt idx="53">
                  <c:v>1.01</c:v>
                </c:pt>
                <c:pt idx="54">
                  <c:v>4.3099999999999996</c:v>
                </c:pt>
                <c:pt idx="55">
                  <c:v>5.01</c:v>
                </c:pt>
                <c:pt idx="56">
                  <c:v>1.77</c:v>
                </c:pt>
                <c:pt idx="57">
                  <c:v>9.16</c:v>
                </c:pt>
                <c:pt idx="58">
                  <c:v>4.9400000000000004</c:v>
                </c:pt>
                <c:pt idx="59">
                  <c:v>7.29</c:v>
                </c:pt>
                <c:pt idx="60">
                  <c:v>4.38</c:v>
                </c:pt>
                <c:pt idx="61">
                  <c:v>9.0299999999999994</c:v>
                </c:pt>
                <c:pt idx="62">
                  <c:v>7.29</c:v>
                </c:pt>
                <c:pt idx="63">
                  <c:v>2.46</c:v>
                </c:pt>
                <c:pt idx="64">
                  <c:v>4.59</c:v>
                </c:pt>
                <c:pt idx="65">
                  <c:v>6.58</c:v>
                </c:pt>
                <c:pt idx="66">
                  <c:v>2.2200000000000002</c:v>
                </c:pt>
                <c:pt idx="67">
                  <c:v>9.15</c:v>
                </c:pt>
                <c:pt idx="68">
                  <c:v>1.19</c:v>
                </c:pt>
                <c:pt idx="69">
                  <c:v>9.7100000000000009</c:v>
                </c:pt>
                <c:pt idx="70">
                  <c:v>6.32</c:v>
                </c:pt>
                <c:pt idx="71">
                  <c:v>9.23</c:v>
                </c:pt>
                <c:pt idx="72">
                  <c:v>6.6</c:v>
                </c:pt>
                <c:pt idx="73">
                  <c:v>1.51</c:v>
                </c:pt>
                <c:pt idx="74">
                  <c:v>5.24</c:v>
                </c:pt>
                <c:pt idx="75">
                  <c:v>2.4700000000000002</c:v>
                </c:pt>
                <c:pt idx="76">
                  <c:v>7.05</c:v>
                </c:pt>
                <c:pt idx="77">
                  <c:v>6.78</c:v>
                </c:pt>
                <c:pt idx="78">
                  <c:v>8.4700000000000006</c:v>
                </c:pt>
                <c:pt idx="79">
                  <c:v>6.5</c:v>
                </c:pt>
                <c:pt idx="80">
                  <c:v>2.83</c:v>
                </c:pt>
                <c:pt idx="81">
                  <c:v>4.07</c:v>
                </c:pt>
                <c:pt idx="82">
                  <c:v>4.71</c:v>
                </c:pt>
                <c:pt idx="83">
                  <c:v>4.95</c:v>
                </c:pt>
                <c:pt idx="84">
                  <c:v>8.3800000000000008</c:v>
                </c:pt>
                <c:pt idx="85">
                  <c:v>8.25</c:v>
                </c:pt>
                <c:pt idx="86">
                  <c:v>1.45</c:v>
                </c:pt>
                <c:pt idx="87">
                  <c:v>6.58</c:v>
                </c:pt>
                <c:pt idx="88">
                  <c:v>3.8</c:v>
                </c:pt>
                <c:pt idx="89">
                  <c:v>9.93</c:v>
                </c:pt>
                <c:pt idx="90">
                  <c:v>7.67</c:v>
                </c:pt>
                <c:pt idx="91">
                  <c:v>7.47</c:v>
                </c:pt>
                <c:pt idx="92">
                  <c:v>4.47</c:v>
                </c:pt>
                <c:pt idx="93">
                  <c:v>7.01</c:v>
                </c:pt>
                <c:pt idx="94">
                  <c:v>6.94</c:v>
                </c:pt>
                <c:pt idx="95">
                  <c:v>8.6300000000000008</c:v>
                </c:pt>
                <c:pt idx="96">
                  <c:v>5.35</c:v>
                </c:pt>
                <c:pt idx="97">
                  <c:v>7.9</c:v>
                </c:pt>
                <c:pt idx="98">
                  <c:v>1.41</c:v>
                </c:pt>
                <c:pt idx="99">
                  <c:v>1.31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B1-4327-B927-7EA91075C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589728"/>
        <c:axId val="1061591368"/>
      </c:scatterChart>
      <c:valAx>
        <c:axId val="1061589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61591368"/>
        <c:crosses val="autoZero"/>
        <c:crossBetween val="midCat"/>
      </c:valAx>
      <c:valAx>
        <c:axId val="1061591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6158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Total Cost vs. Defect Rates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supply_chain!$X$1</c:f>
              <c:strCache>
                <c:ptCount val="1"/>
                <c:pt idx="0">
                  <c:v>costs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supply_chain!$U$2:$U$101</c:f>
              <c:numCache>
                <c:formatCode>General</c:formatCode>
                <c:ptCount val="100"/>
                <c:pt idx="0">
                  <c:v>0.23</c:v>
                </c:pt>
                <c:pt idx="1">
                  <c:v>4.8499999999999996</c:v>
                </c:pt>
                <c:pt idx="2">
                  <c:v>4.58</c:v>
                </c:pt>
                <c:pt idx="3">
                  <c:v>4.75</c:v>
                </c:pt>
                <c:pt idx="4">
                  <c:v>3.15</c:v>
                </c:pt>
                <c:pt idx="5">
                  <c:v>2.78</c:v>
                </c:pt>
                <c:pt idx="6">
                  <c:v>1</c:v>
                </c:pt>
                <c:pt idx="7">
                  <c:v>0.4</c:v>
                </c:pt>
                <c:pt idx="8">
                  <c:v>2.71</c:v>
                </c:pt>
                <c:pt idx="9">
                  <c:v>3.84</c:v>
                </c:pt>
                <c:pt idx="10">
                  <c:v>1.73</c:v>
                </c:pt>
                <c:pt idx="11">
                  <c:v>0.02</c:v>
                </c:pt>
                <c:pt idx="12">
                  <c:v>2.16</c:v>
                </c:pt>
                <c:pt idx="13">
                  <c:v>1.63</c:v>
                </c:pt>
                <c:pt idx="14">
                  <c:v>0.1</c:v>
                </c:pt>
                <c:pt idx="15">
                  <c:v>2.2599999999999998</c:v>
                </c:pt>
                <c:pt idx="16">
                  <c:v>1.01</c:v>
                </c:pt>
                <c:pt idx="17">
                  <c:v>0.1</c:v>
                </c:pt>
                <c:pt idx="18">
                  <c:v>2.23</c:v>
                </c:pt>
                <c:pt idx="19">
                  <c:v>3.65</c:v>
                </c:pt>
                <c:pt idx="20">
                  <c:v>4.2300000000000004</c:v>
                </c:pt>
                <c:pt idx="21">
                  <c:v>0.02</c:v>
                </c:pt>
                <c:pt idx="22">
                  <c:v>2.59</c:v>
                </c:pt>
                <c:pt idx="23">
                  <c:v>1.34</c:v>
                </c:pt>
                <c:pt idx="24">
                  <c:v>3.69</c:v>
                </c:pt>
                <c:pt idx="25">
                  <c:v>3.8</c:v>
                </c:pt>
                <c:pt idx="26">
                  <c:v>2.12</c:v>
                </c:pt>
                <c:pt idx="27">
                  <c:v>2.86</c:v>
                </c:pt>
                <c:pt idx="28">
                  <c:v>0.82</c:v>
                </c:pt>
                <c:pt idx="29">
                  <c:v>3.88</c:v>
                </c:pt>
                <c:pt idx="30">
                  <c:v>0.97</c:v>
                </c:pt>
                <c:pt idx="31">
                  <c:v>2.99</c:v>
                </c:pt>
                <c:pt idx="32">
                  <c:v>1.95</c:v>
                </c:pt>
                <c:pt idx="33">
                  <c:v>3.54</c:v>
                </c:pt>
                <c:pt idx="34">
                  <c:v>0.65</c:v>
                </c:pt>
                <c:pt idx="35">
                  <c:v>0.54</c:v>
                </c:pt>
                <c:pt idx="36">
                  <c:v>3.81</c:v>
                </c:pt>
                <c:pt idx="37">
                  <c:v>2.61</c:v>
                </c:pt>
                <c:pt idx="38">
                  <c:v>0.61</c:v>
                </c:pt>
                <c:pt idx="39">
                  <c:v>1.45</c:v>
                </c:pt>
                <c:pt idx="40">
                  <c:v>4.21</c:v>
                </c:pt>
                <c:pt idx="41">
                  <c:v>0.05</c:v>
                </c:pt>
                <c:pt idx="42">
                  <c:v>4.9400000000000004</c:v>
                </c:pt>
                <c:pt idx="43">
                  <c:v>0.37</c:v>
                </c:pt>
                <c:pt idx="44">
                  <c:v>2.96</c:v>
                </c:pt>
                <c:pt idx="45">
                  <c:v>3.22</c:v>
                </c:pt>
                <c:pt idx="46">
                  <c:v>3.65</c:v>
                </c:pt>
                <c:pt idx="47">
                  <c:v>0.38</c:v>
                </c:pt>
                <c:pt idx="48">
                  <c:v>1.7</c:v>
                </c:pt>
                <c:pt idx="49">
                  <c:v>2.83</c:v>
                </c:pt>
                <c:pt idx="50">
                  <c:v>4.75</c:v>
                </c:pt>
                <c:pt idx="51">
                  <c:v>1.77</c:v>
                </c:pt>
                <c:pt idx="52">
                  <c:v>2.12</c:v>
                </c:pt>
                <c:pt idx="53">
                  <c:v>1.41</c:v>
                </c:pt>
                <c:pt idx="54">
                  <c:v>2.48</c:v>
                </c:pt>
                <c:pt idx="55">
                  <c:v>4.55</c:v>
                </c:pt>
                <c:pt idx="56">
                  <c:v>1.17</c:v>
                </c:pt>
                <c:pt idx="57">
                  <c:v>2.5099999999999998</c:v>
                </c:pt>
                <c:pt idx="58">
                  <c:v>1.73</c:v>
                </c:pt>
                <c:pt idx="59">
                  <c:v>0.45</c:v>
                </c:pt>
                <c:pt idx="60">
                  <c:v>2.85</c:v>
                </c:pt>
                <c:pt idx="61">
                  <c:v>4.37</c:v>
                </c:pt>
                <c:pt idx="62">
                  <c:v>1.87</c:v>
                </c:pt>
                <c:pt idx="63">
                  <c:v>3.63</c:v>
                </c:pt>
                <c:pt idx="64">
                  <c:v>0.16</c:v>
                </c:pt>
                <c:pt idx="65">
                  <c:v>4.91</c:v>
                </c:pt>
                <c:pt idx="66">
                  <c:v>3.45</c:v>
                </c:pt>
                <c:pt idx="67">
                  <c:v>0.13</c:v>
                </c:pt>
                <c:pt idx="68">
                  <c:v>1.98</c:v>
                </c:pt>
                <c:pt idx="69">
                  <c:v>1.36</c:v>
                </c:pt>
                <c:pt idx="70">
                  <c:v>1.83</c:v>
                </c:pt>
                <c:pt idx="71">
                  <c:v>2.08</c:v>
                </c:pt>
                <c:pt idx="72">
                  <c:v>3.21</c:v>
                </c:pt>
                <c:pt idx="73">
                  <c:v>4.62</c:v>
                </c:pt>
                <c:pt idx="74">
                  <c:v>0.4</c:v>
                </c:pt>
                <c:pt idx="75">
                  <c:v>2.0299999999999998</c:v>
                </c:pt>
                <c:pt idx="76">
                  <c:v>2.1800000000000002</c:v>
                </c:pt>
                <c:pt idx="77">
                  <c:v>3.06</c:v>
                </c:pt>
                <c:pt idx="78">
                  <c:v>4.0999999999999996</c:v>
                </c:pt>
                <c:pt idx="79">
                  <c:v>0.17</c:v>
                </c:pt>
                <c:pt idx="80">
                  <c:v>2.85</c:v>
                </c:pt>
                <c:pt idx="81">
                  <c:v>2.5499999999999998</c:v>
                </c:pt>
                <c:pt idx="82">
                  <c:v>4.1399999999999997</c:v>
                </c:pt>
                <c:pt idx="83">
                  <c:v>0.77</c:v>
                </c:pt>
                <c:pt idx="84">
                  <c:v>4.84</c:v>
                </c:pt>
                <c:pt idx="85">
                  <c:v>1.37</c:v>
                </c:pt>
                <c:pt idx="86">
                  <c:v>2.0499999999999998</c:v>
                </c:pt>
                <c:pt idx="87">
                  <c:v>3.69</c:v>
                </c:pt>
                <c:pt idx="88">
                  <c:v>0.72</c:v>
                </c:pt>
                <c:pt idx="89">
                  <c:v>1.91</c:v>
                </c:pt>
                <c:pt idx="90">
                  <c:v>1.22</c:v>
                </c:pt>
                <c:pt idx="91">
                  <c:v>0.63</c:v>
                </c:pt>
                <c:pt idx="92">
                  <c:v>0.33</c:v>
                </c:pt>
                <c:pt idx="93">
                  <c:v>4.17</c:v>
                </c:pt>
                <c:pt idx="94">
                  <c:v>1.46</c:v>
                </c:pt>
                <c:pt idx="95">
                  <c:v>1.21</c:v>
                </c:pt>
                <c:pt idx="96">
                  <c:v>3.87</c:v>
                </c:pt>
                <c:pt idx="97">
                  <c:v>3.38</c:v>
                </c:pt>
                <c:pt idx="98">
                  <c:v>2.91</c:v>
                </c:pt>
                <c:pt idx="99">
                  <c:v>0.35</c:v>
                </c:pt>
              </c:numCache>
            </c:numRef>
          </c:xVal>
          <c:yVal>
            <c:numRef>
              <c:f>supply_chain!$X$2:$X$101</c:f>
              <c:numCache>
                <c:formatCode>General</c:formatCode>
                <c:ptCount val="100"/>
                <c:pt idx="0">
                  <c:v>187.75</c:v>
                </c:pt>
                <c:pt idx="1">
                  <c:v>503.07</c:v>
                </c:pt>
                <c:pt idx="2">
                  <c:v>141.91999999999999</c:v>
                </c:pt>
                <c:pt idx="3">
                  <c:v>254.78</c:v>
                </c:pt>
                <c:pt idx="4">
                  <c:v>923.44</c:v>
                </c:pt>
                <c:pt idx="5">
                  <c:v>235.46</c:v>
                </c:pt>
                <c:pt idx="6">
                  <c:v>134.37</c:v>
                </c:pt>
                <c:pt idx="7">
                  <c:v>802.06</c:v>
                </c:pt>
                <c:pt idx="8">
                  <c:v>505.56</c:v>
                </c:pt>
                <c:pt idx="9">
                  <c:v>995.93</c:v>
                </c:pt>
                <c:pt idx="10">
                  <c:v>806.1</c:v>
                </c:pt>
                <c:pt idx="11">
                  <c:v>126.72</c:v>
                </c:pt>
                <c:pt idx="12">
                  <c:v>402.97</c:v>
                </c:pt>
                <c:pt idx="13">
                  <c:v>547.24</c:v>
                </c:pt>
                <c:pt idx="14">
                  <c:v>929.24</c:v>
                </c:pt>
                <c:pt idx="15">
                  <c:v>127.86</c:v>
                </c:pt>
                <c:pt idx="16">
                  <c:v>865.53</c:v>
                </c:pt>
                <c:pt idx="17">
                  <c:v>670.93</c:v>
                </c:pt>
                <c:pt idx="18">
                  <c:v>593.48</c:v>
                </c:pt>
                <c:pt idx="19">
                  <c:v>477.31</c:v>
                </c:pt>
                <c:pt idx="20">
                  <c:v>493.87</c:v>
                </c:pt>
                <c:pt idx="21">
                  <c:v>523.36</c:v>
                </c:pt>
                <c:pt idx="22">
                  <c:v>205.57</c:v>
                </c:pt>
                <c:pt idx="23">
                  <c:v>196.33</c:v>
                </c:pt>
                <c:pt idx="24">
                  <c:v>758.72</c:v>
                </c:pt>
                <c:pt idx="25">
                  <c:v>458.54</c:v>
                </c:pt>
                <c:pt idx="26">
                  <c:v>617.87</c:v>
                </c:pt>
                <c:pt idx="27">
                  <c:v>762.46</c:v>
                </c:pt>
                <c:pt idx="28">
                  <c:v>123.44</c:v>
                </c:pt>
                <c:pt idx="29">
                  <c:v>764.94</c:v>
                </c:pt>
                <c:pt idx="30">
                  <c:v>880.08</c:v>
                </c:pt>
                <c:pt idx="31">
                  <c:v>609.38</c:v>
                </c:pt>
                <c:pt idx="32">
                  <c:v>761.17</c:v>
                </c:pt>
                <c:pt idx="33">
                  <c:v>371.26</c:v>
                </c:pt>
                <c:pt idx="34">
                  <c:v>510.36</c:v>
                </c:pt>
                <c:pt idx="35">
                  <c:v>553.41999999999996</c:v>
                </c:pt>
                <c:pt idx="36">
                  <c:v>403.81</c:v>
                </c:pt>
                <c:pt idx="37">
                  <c:v>183.93</c:v>
                </c:pt>
                <c:pt idx="38">
                  <c:v>339.67</c:v>
                </c:pt>
                <c:pt idx="39">
                  <c:v>653.66999999999996</c:v>
                </c:pt>
                <c:pt idx="40">
                  <c:v>529.80999999999995</c:v>
                </c:pt>
                <c:pt idx="41">
                  <c:v>275.52</c:v>
                </c:pt>
                <c:pt idx="42">
                  <c:v>635.66</c:v>
                </c:pt>
                <c:pt idx="43">
                  <c:v>716.04</c:v>
                </c:pt>
                <c:pt idx="44">
                  <c:v>610.45000000000005</c:v>
                </c:pt>
                <c:pt idx="45">
                  <c:v>495.31</c:v>
                </c:pt>
                <c:pt idx="46">
                  <c:v>380.44</c:v>
                </c:pt>
                <c:pt idx="47">
                  <c:v>581.6</c:v>
                </c:pt>
                <c:pt idx="48">
                  <c:v>768.65</c:v>
                </c:pt>
                <c:pt idx="49">
                  <c:v>336.89</c:v>
                </c:pt>
                <c:pt idx="50">
                  <c:v>496.25</c:v>
                </c:pt>
                <c:pt idx="51">
                  <c:v>694.98</c:v>
                </c:pt>
                <c:pt idx="52">
                  <c:v>602.9</c:v>
                </c:pt>
                <c:pt idx="53">
                  <c:v>750.74</c:v>
                </c:pt>
                <c:pt idx="54">
                  <c:v>814.07</c:v>
                </c:pt>
                <c:pt idx="55">
                  <c:v>323.01</c:v>
                </c:pt>
                <c:pt idx="56">
                  <c:v>832.21</c:v>
                </c:pt>
                <c:pt idx="57">
                  <c:v>482.19</c:v>
                </c:pt>
                <c:pt idx="58">
                  <c:v>110.36</c:v>
                </c:pt>
                <c:pt idx="59">
                  <c:v>312.57</c:v>
                </c:pt>
                <c:pt idx="60">
                  <c:v>430.17</c:v>
                </c:pt>
                <c:pt idx="61">
                  <c:v>164.37</c:v>
                </c:pt>
                <c:pt idx="62">
                  <c:v>320.85000000000002</c:v>
                </c:pt>
                <c:pt idx="63">
                  <c:v>687.29</c:v>
                </c:pt>
                <c:pt idx="64">
                  <c:v>771.23</c:v>
                </c:pt>
                <c:pt idx="65">
                  <c:v>555.86</c:v>
                </c:pt>
                <c:pt idx="66">
                  <c:v>393.84</c:v>
                </c:pt>
                <c:pt idx="67">
                  <c:v>169.27</c:v>
                </c:pt>
                <c:pt idx="68">
                  <c:v>299.70999999999998</c:v>
                </c:pt>
                <c:pt idx="69">
                  <c:v>207.66</c:v>
                </c:pt>
                <c:pt idx="70">
                  <c:v>183.27</c:v>
                </c:pt>
                <c:pt idx="71">
                  <c:v>405.17</c:v>
                </c:pt>
                <c:pt idx="72">
                  <c:v>677.94</c:v>
                </c:pt>
                <c:pt idx="73">
                  <c:v>866.47</c:v>
                </c:pt>
                <c:pt idx="74">
                  <c:v>341.55</c:v>
                </c:pt>
                <c:pt idx="75">
                  <c:v>873.13</c:v>
                </c:pt>
                <c:pt idx="76">
                  <c:v>997.41</c:v>
                </c:pt>
                <c:pt idx="77">
                  <c:v>852.57</c:v>
                </c:pt>
                <c:pt idx="78">
                  <c:v>323.58999999999997</c:v>
                </c:pt>
                <c:pt idx="79">
                  <c:v>351.5</c:v>
                </c:pt>
                <c:pt idx="80">
                  <c:v>787.78</c:v>
                </c:pt>
                <c:pt idx="81">
                  <c:v>276.77999999999997</c:v>
                </c:pt>
                <c:pt idx="82">
                  <c:v>589.98</c:v>
                </c:pt>
                <c:pt idx="83">
                  <c:v>682.97</c:v>
                </c:pt>
                <c:pt idx="84">
                  <c:v>465.46</c:v>
                </c:pt>
                <c:pt idx="85">
                  <c:v>842.69</c:v>
                </c:pt>
                <c:pt idx="86">
                  <c:v>264.25</c:v>
                </c:pt>
                <c:pt idx="87">
                  <c:v>879.36</c:v>
                </c:pt>
                <c:pt idx="88">
                  <c:v>103.92</c:v>
                </c:pt>
                <c:pt idx="89">
                  <c:v>517.5</c:v>
                </c:pt>
                <c:pt idx="90">
                  <c:v>990.08</c:v>
                </c:pt>
                <c:pt idx="91">
                  <c:v>996.78</c:v>
                </c:pt>
                <c:pt idx="92">
                  <c:v>230.09</c:v>
                </c:pt>
                <c:pt idx="93">
                  <c:v>823.52</c:v>
                </c:pt>
                <c:pt idx="94">
                  <c:v>846.67</c:v>
                </c:pt>
                <c:pt idx="95">
                  <c:v>778.86</c:v>
                </c:pt>
                <c:pt idx="96">
                  <c:v>188.74</c:v>
                </c:pt>
                <c:pt idx="97">
                  <c:v>540.13</c:v>
                </c:pt>
                <c:pt idx="98">
                  <c:v>882.2</c:v>
                </c:pt>
                <c:pt idx="99">
                  <c:v>210.74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C1-4406-8150-0FB3742CB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011328"/>
        <c:axId val="540005752"/>
      </c:scatterChart>
      <c:valAx>
        <c:axId val="54001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05752"/>
        <c:crosses val="autoZero"/>
        <c:crossBetween val="midCat"/>
      </c:valAx>
      <c:valAx>
        <c:axId val="54000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1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Shipping and Lead Time Analysis Across Locations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supply_chain!$O$6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CA-49E6-8FAE-D80E165BDEE5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supply_chain!$I$1:$I$101</c:f>
              <c:numCache>
                <c:formatCode>General</c:formatCode>
                <c:ptCount val="101"/>
                <c:pt idx="0">
                  <c:v>0</c:v>
                </c:pt>
                <c:pt idx="1">
                  <c:v>7</c:v>
                </c:pt>
                <c:pt idx="2">
                  <c:v>30</c:v>
                </c:pt>
                <c:pt idx="3">
                  <c:v>10</c:v>
                </c:pt>
                <c:pt idx="4">
                  <c:v>13</c:v>
                </c:pt>
                <c:pt idx="5">
                  <c:v>3</c:v>
                </c:pt>
                <c:pt idx="6">
                  <c:v>27</c:v>
                </c:pt>
                <c:pt idx="7">
                  <c:v>15</c:v>
                </c:pt>
                <c:pt idx="8">
                  <c:v>17</c:v>
                </c:pt>
                <c:pt idx="9">
                  <c:v>10</c:v>
                </c:pt>
                <c:pt idx="10">
                  <c:v>27</c:v>
                </c:pt>
                <c:pt idx="11">
                  <c:v>13</c:v>
                </c:pt>
                <c:pt idx="12">
                  <c:v>23</c:v>
                </c:pt>
                <c:pt idx="13">
                  <c:v>30</c:v>
                </c:pt>
                <c:pt idx="14">
                  <c:v>8</c:v>
                </c:pt>
                <c:pt idx="15">
                  <c:v>29</c:v>
                </c:pt>
                <c:pt idx="16">
                  <c:v>8</c:v>
                </c:pt>
                <c:pt idx="17">
                  <c:v>5</c:v>
                </c:pt>
                <c:pt idx="18">
                  <c:v>17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25</c:v>
                </c:pt>
                <c:pt idx="23">
                  <c:v>1</c:v>
                </c:pt>
                <c:pt idx="24">
                  <c:v>5</c:v>
                </c:pt>
                <c:pt idx="25">
                  <c:v>26</c:v>
                </c:pt>
                <c:pt idx="26">
                  <c:v>11</c:v>
                </c:pt>
                <c:pt idx="27">
                  <c:v>16</c:v>
                </c:pt>
                <c:pt idx="28">
                  <c:v>9</c:v>
                </c:pt>
                <c:pt idx="29">
                  <c:v>15</c:v>
                </c:pt>
                <c:pt idx="30">
                  <c:v>5</c:v>
                </c:pt>
                <c:pt idx="31">
                  <c:v>26</c:v>
                </c:pt>
                <c:pt idx="32">
                  <c:v>17</c:v>
                </c:pt>
                <c:pt idx="33">
                  <c:v>13</c:v>
                </c:pt>
                <c:pt idx="34">
                  <c:v>17</c:v>
                </c:pt>
                <c:pt idx="35">
                  <c:v>26</c:v>
                </c:pt>
                <c:pt idx="36">
                  <c:v>27</c:v>
                </c:pt>
                <c:pt idx="37">
                  <c:v>23</c:v>
                </c:pt>
                <c:pt idx="38">
                  <c:v>8</c:v>
                </c:pt>
                <c:pt idx="39">
                  <c:v>1</c:v>
                </c:pt>
                <c:pt idx="40">
                  <c:v>29</c:v>
                </c:pt>
                <c:pt idx="41">
                  <c:v>20</c:v>
                </c:pt>
                <c:pt idx="42">
                  <c:v>19</c:v>
                </c:pt>
                <c:pt idx="43">
                  <c:v>27</c:v>
                </c:pt>
                <c:pt idx="44">
                  <c:v>29</c:v>
                </c:pt>
                <c:pt idx="45">
                  <c:v>19</c:v>
                </c:pt>
                <c:pt idx="46">
                  <c:v>7</c:v>
                </c:pt>
                <c:pt idx="47">
                  <c:v>29</c:v>
                </c:pt>
                <c:pt idx="48">
                  <c:v>15</c:v>
                </c:pt>
                <c:pt idx="49">
                  <c:v>16</c:v>
                </c:pt>
                <c:pt idx="50">
                  <c:v>24</c:v>
                </c:pt>
                <c:pt idx="51">
                  <c:v>23</c:v>
                </c:pt>
                <c:pt idx="52">
                  <c:v>4</c:v>
                </c:pt>
                <c:pt idx="53">
                  <c:v>11</c:v>
                </c:pt>
                <c:pt idx="54">
                  <c:v>25</c:v>
                </c:pt>
                <c:pt idx="55">
                  <c:v>22</c:v>
                </c:pt>
                <c:pt idx="56">
                  <c:v>11</c:v>
                </c:pt>
                <c:pt idx="57">
                  <c:v>23</c:v>
                </c:pt>
                <c:pt idx="58">
                  <c:v>18</c:v>
                </c:pt>
                <c:pt idx="59">
                  <c:v>5</c:v>
                </c:pt>
                <c:pt idx="60">
                  <c:v>16</c:v>
                </c:pt>
                <c:pt idx="61">
                  <c:v>27</c:v>
                </c:pt>
                <c:pt idx="62">
                  <c:v>23</c:v>
                </c:pt>
                <c:pt idx="63">
                  <c:v>2</c:v>
                </c:pt>
                <c:pt idx="64">
                  <c:v>19</c:v>
                </c:pt>
                <c:pt idx="65">
                  <c:v>27</c:v>
                </c:pt>
                <c:pt idx="66">
                  <c:v>24</c:v>
                </c:pt>
                <c:pt idx="67">
                  <c:v>17</c:v>
                </c:pt>
                <c:pt idx="68">
                  <c:v>9</c:v>
                </c:pt>
                <c:pt idx="69">
                  <c:v>8</c:v>
                </c:pt>
                <c:pt idx="70">
                  <c:v>1</c:v>
                </c:pt>
                <c:pt idx="71">
                  <c:v>12</c:v>
                </c:pt>
                <c:pt idx="72">
                  <c:v>2</c:v>
                </c:pt>
                <c:pt idx="73">
                  <c:v>29</c:v>
                </c:pt>
                <c:pt idx="74">
                  <c:v>25</c:v>
                </c:pt>
                <c:pt idx="75">
                  <c:v>6</c:v>
                </c:pt>
                <c:pt idx="76">
                  <c:v>20</c:v>
                </c:pt>
                <c:pt idx="77">
                  <c:v>1</c:v>
                </c:pt>
                <c:pt idx="78">
                  <c:v>28</c:v>
                </c:pt>
                <c:pt idx="79">
                  <c:v>4</c:v>
                </c:pt>
                <c:pt idx="80">
                  <c:v>25</c:v>
                </c:pt>
                <c:pt idx="81">
                  <c:v>14</c:v>
                </c:pt>
                <c:pt idx="82">
                  <c:v>6</c:v>
                </c:pt>
                <c:pt idx="83">
                  <c:v>19</c:v>
                </c:pt>
                <c:pt idx="84">
                  <c:v>24</c:v>
                </c:pt>
                <c:pt idx="85">
                  <c:v>26</c:v>
                </c:pt>
                <c:pt idx="86">
                  <c:v>18</c:v>
                </c:pt>
                <c:pt idx="87">
                  <c:v>14</c:v>
                </c:pt>
                <c:pt idx="88">
                  <c:v>7</c:v>
                </c:pt>
                <c:pt idx="89">
                  <c:v>18</c:v>
                </c:pt>
                <c:pt idx="90">
                  <c:v>1</c:v>
                </c:pt>
                <c:pt idx="91">
                  <c:v>18</c:v>
                </c:pt>
                <c:pt idx="92">
                  <c:v>22</c:v>
                </c:pt>
                <c:pt idx="93">
                  <c:v>25</c:v>
                </c:pt>
                <c:pt idx="94">
                  <c:v>17</c:v>
                </c:pt>
                <c:pt idx="95">
                  <c:v>26</c:v>
                </c:pt>
                <c:pt idx="96">
                  <c:v>14</c:v>
                </c:pt>
                <c:pt idx="97">
                  <c:v>2</c:v>
                </c:pt>
                <c:pt idx="98">
                  <c:v>19</c:v>
                </c:pt>
                <c:pt idx="99">
                  <c:v>1</c:v>
                </c:pt>
                <c:pt idx="10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CA-49E6-8FAE-D80E165BDEE5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supply_chain!$O$1:$O$101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CA-49E6-8FAE-D80E165BDEE5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supply_chain!$M$1:$M$101</c:f>
              <c:numCache>
                <c:formatCode>General</c:formatCode>
                <c:ptCount val="101"/>
                <c:pt idx="0">
                  <c:v>0</c:v>
                </c:pt>
                <c:pt idx="1">
                  <c:v>2.96</c:v>
                </c:pt>
                <c:pt idx="2">
                  <c:v>9.7200000000000006</c:v>
                </c:pt>
                <c:pt idx="3">
                  <c:v>8.0500000000000007</c:v>
                </c:pt>
                <c:pt idx="4">
                  <c:v>1.73</c:v>
                </c:pt>
                <c:pt idx="5">
                  <c:v>3.89</c:v>
                </c:pt>
                <c:pt idx="6">
                  <c:v>4.4400000000000004</c:v>
                </c:pt>
                <c:pt idx="7">
                  <c:v>3.88</c:v>
                </c:pt>
                <c:pt idx="8">
                  <c:v>2.35</c:v>
                </c:pt>
                <c:pt idx="9">
                  <c:v>3.4</c:v>
                </c:pt>
                <c:pt idx="10">
                  <c:v>7.17</c:v>
                </c:pt>
                <c:pt idx="11">
                  <c:v>8.67</c:v>
                </c:pt>
                <c:pt idx="12">
                  <c:v>4.5199999999999996</c:v>
                </c:pt>
                <c:pt idx="13">
                  <c:v>1.33</c:v>
                </c:pt>
                <c:pt idx="14">
                  <c:v>9.5399999999999991</c:v>
                </c:pt>
                <c:pt idx="15">
                  <c:v>2.04</c:v>
                </c:pt>
                <c:pt idx="16">
                  <c:v>2.42</c:v>
                </c:pt>
                <c:pt idx="17">
                  <c:v>4.1900000000000004</c:v>
                </c:pt>
                <c:pt idx="18">
                  <c:v>3.59</c:v>
                </c:pt>
                <c:pt idx="19">
                  <c:v>4.34</c:v>
                </c:pt>
                <c:pt idx="20">
                  <c:v>4.74</c:v>
                </c:pt>
                <c:pt idx="21">
                  <c:v>8.8800000000000008</c:v>
                </c:pt>
                <c:pt idx="22">
                  <c:v>6.04</c:v>
                </c:pt>
                <c:pt idx="23">
                  <c:v>9.57</c:v>
                </c:pt>
                <c:pt idx="24">
                  <c:v>2.92</c:v>
                </c:pt>
                <c:pt idx="25">
                  <c:v>9.74</c:v>
                </c:pt>
                <c:pt idx="26">
                  <c:v>2.23</c:v>
                </c:pt>
                <c:pt idx="27">
                  <c:v>6.51</c:v>
                </c:pt>
                <c:pt idx="28">
                  <c:v>7.41</c:v>
                </c:pt>
                <c:pt idx="29">
                  <c:v>9.9</c:v>
                </c:pt>
                <c:pt idx="30">
                  <c:v>8.1</c:v>
                </c:pt>
                <c:pt idx="31">
                  <c:v>8.9499999999999993</c:v>
                </c:pt>
                <c:pt idx="32">
                  <c:v>2.68</c:v>
                </c:pt>
                <c:pt idx="33">
                  <c:v>6.6</c:v>
                </c:pt>
                <c:pt idx="34">
                  <c:v>4.8600000000000003</c:v>
                </c:pt>
                <c:pt idx="35">
                  <c:v>1.02</c:v>
                </c:pt>
                <c:pt idx="36">
                  <c:v>5.29</c:v>
                </c:pt>
                <c:pt idx="37">
                  <c:v>2.11</c:v>
                </c:pt>
                <c:pt idx="38">
                  <c:v>1.53</c:v>
                </c:pt>
                <c:pt idx="39">
                  <c:v>9.24</c:v>
                </c:pt>
                <c:pt idx="40">
                  <c:v>5.56</c:v>
                </c:pt>
                <c:pt idx="41">
                  <c:v>7.23</c:v>
                </c:pt>
                <c:pt idx="42">
                  <c:v>5.77</c:v>
                </c:pt>
                <c:pt idx="43">
                  <c:v>7.53</c:v>
                </c:pt>
                <c:pt idx="44">
                  <c:v>3.69</c:v>
                </c:pt>
                <c:pt idx="45">
                  <c:v>7.58</c:v>
                </c:pt>
                <c:pt idx="46">
                  <c:v>5.22</c:v>
                </c:pt>
                <c:pt idx="47">
                  <c:v>4.07</c:v>
                </c:pt>
                <c:pt idx="48">
                  <c:v>8.98</c:v>
                </c:pt>
                <c:pt idx="49">
                  <c:v>7.1</c:v>
                </c:pt>
                <c:pt idx="50">
                  <c:v>2.5099999999999998</c:v>
                </c:pt>
                <c:pt idx="51">
                  <c:v>6.25</c:v>
                </c:pt>
                <c:pt idx="52">
                  <c:v>4.78</c:v>
                </c:pt>
                <c:pt idx="53">
                  <c:v>8.6300000000000008</c:v>
                </c:pt>
                <c:pt idx="54">
                  <c:v>1.01</c:v>
                </c:pt>
                <c:pt idx="55">
                  <c:v>4.3099999999999996</c:v>
                </c:pt>
                <c:pt idx="56">
                  <c:v>5.01</c:v>
                </c:pt>
                <c:pt idx="57">
                  <c:v>1.77</c:v>
                </c:pt>
                <c:pt idx="58">
                  <c:v>9.16</c:v>
                </c:pt>
                <c:pt idx="59">
                  <c:v>4.9400000000000004</c:v>
                </c:pt>
                <c:pt idx="60">
                  <c:v>7.29</c:v>
                </c:pt>
                <c:pt idx="61">
                  <c:v>4.38</c:v>
                </c:pt>
                <c:pt idx="62">
                  <c:v>9.0299999999999994</c:v>
                </c:pt>
                <c:pt idx="63">
                  <c:v>7.29</c:v>
                </c:pt>
                <c:pt idx="64">
                  <c:v>2.46</c:v>
                </c:pt>
                <c:pt idx="65">
                  <c:v>4.59</c:v>
                </c:pt>
                <c:pt idx="66">
                  <c:v>6.58</c:v>
                </c:pt>
                <c:pt idx="67">
                  <c:v>2.2200000000000002</c:v>
                </c:pt>
                <c:pt idx="68">
                  <c:v>9.15</c:v>
                </c:pt>
                <c:pt idx="69">
                  <c:v>1.19</c:v>
                </c:pt>
                <c:pt idx="70">
                  <c:v>9.7100000000000009</c:v>
                </c:pt>
                <c:pt idx="71">
                  <c:v>6.32</c:v>
                </c:pt>
                <c:pt idx="72">
                  <c:v>9.23</c:v>
                </c:pt>
                <c:pt idx="73">
                  <c:v>6.6</c:v>
                </c:pt>
                <c:pt idx="74">
                  <c:v>1.51</c:v>
                </c:pt>
                <c:pt idx="75">
                  <c:v>5.24</c:v>
                </c:pt>
                <c:pt idx="76">
                  <c:v>2.4700000000000002</c:v>
                </c:pt>
                <c:pt idx="77">
                  <c:v>7.05</c:v>
                </c:pt>
                <c:pt idx="78">
                  <c:v>6.78</c:v>
                </c:pt>
                <c:pt idx="79">
                  <c:v>8.4700000000000006</c:v>
                </c:pt>
                <c:pt idx="80">
                  <c:v>6.5</c:v>
                </c:pt>
                <c:pt idx="81">
                  <c:v>2.83</c:v>
                </c:pt>
                <c:pt idx="82">
                  <c:v>4.07</c:v>
                </c:pt>
                <c:pt idx="83">
                  <c:v>4.71</c:v>
                </c:pt>
                <c:pt idx="84">
                  <c:v>4.95</c:v>
                </c:pt>
                <c:pt idx="85">
                  <c:v>8.3800000000000008</c:v>
                </c:pt>
                <c:pt idx="86">
                  <c:v>8.25</c:v>
                </c:pt>
                <c:pt idx="87">
                  <c:v>1.45</c:v>
                </c:pt>
                <c:pt idx="88">
                  <c:v>6.58</c:v>
                </c:pt>
                <c:pt idx="89">
                  <c:v>3.8</c:v>
                </c:pt>
                <c:pt idx="90">
                  <c:v>9.93</c:v>
                </c:pt>
                <c:pt idx="91">
                  <c:v>7.67</c:v>
                </c:pt>
                <c:pt idx="92">
                  <c:v>7.47</c:v>
                </c:pt>
                <c:pt idx="93">
                  <c:v>4.47</c:v>
                </c:pt>
                <c:pt idx="94">
                  <c:v>7.01</c:v>
                </c:pt>
                <c:pt idx="95">
                  <c:v>6.94</c:v>
                </c:pt>
                <c:pt idx="96">
                  <c:v>8.6300000000000008</c:v>
                </c:pt>
                <c:pt idx="97">
                  <c:v>5.35</c:v>
                </c:pt>
                <c:pt idx="98">
                  <c:v>7.9</c:v>
                </c:pt>
                <c:pt idx="99">
                  <c:v>1.41</c:v>
                </c:pt>
                <c:pt idx="100">
                  <c:v>1.31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CA-49E6-8FAE-D80E165BD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368224"/>
        <c:axId val="898370848"/>
      </c:scatterChart>
      <c:valAx>
        <c:axId val="89836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70848"/>
        <c:crosses val="autoZero"/>
        <c:crossBetween val="midCat"/>
      </c:valAx>
      <c:valAx>
        <c:axId val="89837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6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1).xlsx]Revenue Distribution by Product!PivotTable1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Revenue Distribution by Product Type</a:t>
            </a:r>
            <a:endParaRPr lang="en-US" sz="1400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Distribution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Distribution by Product'!$A$4:$A$7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'Revenue Distribution by Product'!$B$4:$B$7</c:f>
              <c:numCache>
                <c:formatCode>General</c:formatCode>
                <c:ptCount val="3"/>
                <c:pt idx="0">
                  <c:v>161521.26999999996</c:v>
                </c:pt>
                <c:pt idx="1">
                  <c:v>174455.41999999998</c:v>
                </c:pt>
                <c:pt idx="2">
                  <c:v>241628.17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FD-4BBD-987E-74DE7C430D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03147880"/>
        <c:axId val="703143288"/>
      </c:barChart>
      <c:catAx>
        <c:axId val="703147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3143288"/>
        <c:crosses val="autoZero"/>
        <c:auto val="1"/>
        <c:lblAlgn val="ctr"/>
        <c:lblOffset val="100"/>
        <c:noMultiLvlLbl val="0"/>
      </c:catAx>
      <c:valAx>
        <c:axId val="703143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3147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1).xlsx]Sales Volume by SKU!PivotTable3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Sales Volume by SKU</a:t>
            </a:r>
            <a:endParaRPr lang="en-US" sz="1400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Volume by SKU'!$B$3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'Sales Volume by SKU'!$A$4:$A$104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cat>
          <c:val>
            <c:numRef>
              <c:f>'Sales Volume by SKU'!$B$4:$B$104</c:f>
              <c:numCache>
                <c:formatCode>General</c:formatCode>
                <c:ptCount val="100"/>
                <c:pt idx="0">
                  <c:v>802</c:v>
                </c:pt>
                <c:pt idx="1">
                  <c:v>736</c:v>
                </c:pt>
                <c:pt idx="2">
                  <c:v>996</c:v>
                </c:pt>
                <c:pt idx="3">
                  <c:v>960</c:v>
                </c:pt>
                <c:pt idx="4">
                  <c:v>336</c:v>
                </c:pt>
                <c:pt idx="5">
                  <c:v>249</c:v>
                </c:pt>
                <c:pt idx="6">
                  <c:v>562</c:v>
                </c:pt>
                <c:pt idx="7">
                  <c:v>469</c:v>
                </c:pt>
                <c:pt idx="8">
                  <c:v>280</c:v>
                </c:pt>
                <c:pt idx="9">
                  <c:v>126</c:v>
                </c:pt>
                <c:pt idx="10">
                  <c:v>620</c:v>
                </c:pt>
                <c:pt idx="11">
                  <c:v>187</c:v>
                </c:pt>
                <c:pt idx="12">
                  <c:v>8</c:v>
                </c:pt>
                <c:pt idx="13">
                  <c:v>320</c:v>
                </c:pt>
                <c:pt idx="14">
                  <c:v>601</c:v>
                </c:pt>
                <c:pt idx="15">
                  <c:v>884</c:v>
                </c:pt>
                <c:pt idx="16">
                  <c:v>391</c:v>
                </c:pt>
                <c:pt idx="17">
                  <c:v>209</c:v>
                </c:pt>
                <c:pt idx="18">
                  <c:v>142</c:v>
                </c:pt>
                <c:pt idx="19">
                  <c:v>353</c:v>
                </c:pt>
                <c:pt idx="20">
                  <c:v>352</c:v>
                </c:pt>
                <c:pt idx="21">
                  <c:v>394</c:v>
                </c:pt>
                <c:pt idx="22">
                  <c:v>253</c:v>
                </c:pt>
                <c:pt idx="23">
                  <c:v>83</c:v>
                </c:pt>
                <c:pt idx="24">
                  <c:v>327</c:v>
                </c:pt>
                <c:pt idx="25">
                  <c:v>168</c:v>
                </c:pt>
                <c:pt idx="26">
                  <c:v>781</c:v>
                </c:pt>
                <c:pt idx="27">
                  <c:v>616</c:v>
                </c:pt>
                <c:pt idx="28">
                  <c:v>602</c:v>
                </c:pt>
                <c:pt idx="29">
                  <c:v>449</c:v>
                </c:pt>
                <c:pt idx="30">
                  <c:v>963</c:v>
                </c:pt>
                <c:pt idx="31">
                  <c:v>963</c:v>
                </c:pt>
                <c:pt idx="32">
                  <c:v>705</c:v>
                </c:pt>
                <c:pt idx="33">
                  <c:v>176</c:v>
                </c:pt>
                <c:pt idx="34">
                  <c:v>871</c:v>
                </c:pt>
                <c:pt idx="35">
                  <c:v>933</c:v>
                </c:pt>
                <c:pt idx="36">
                  <c:v>556</c:v>
                </c:pt>
                <c:pt idx="37">
                  <c:v>155</c:v>
                </c:pt>
                <c:pt idx="38">
                  <c:v>598</c:v>
                </c:pt>
                <c:pt idx="39">
                  <c:v>919</c:v>
                </c:pt>
                <c:pt idx="40">
                  <c:v>24</c:v>
                </c:pt>
                <c:pt idx="41">
                  <c:v>859</c:v>
                </c:pt>
                <c:pt idx="42">
                  <c:v>910</c:v>
                </c:pt>
                <c:pt idx="43">
                  <c:v>29</c:v>
                </c:pt>
                <c:pt idx="44">
                  <c:v>99</c:v>
                </c:pt>
                <c:pt idx="45">
                  <c:v>147</c:v>
                </c:pt>
                <c:pt idx="46">
                  <c:v>633</c:v>
                </c:pt>
                <c:pt idx="47">
                  <c:v>154</c:v>
                </c:pt>
                <c:pt idx="48">
                  <c:v>820</c:v>
                </c:pt>
                <c:pt idx="49">
                  <c:v>242</c:v>
                </c:pt>
                <c:pt idx="50">
                  <c:v>622</c:v>
                </c:pt>
                <c:pt idx="51">
                  <c:v>701</c:v>
                </c:pt>
                <c:pt idx="52">
                  <c:v>93</c:v>
                </c:pt>
                <c:pt idx="53">
                  <c:v>227</c:v>
                </c:pt>
                <c:pt idx="54">
                  <c:v>896</c:v>
                </c:pt>
                <c:pt idx="55">
                  <c:v>484</c:v>
                </c:pt>
                <c:pt idx="56">
                  <c:v>65</c:v>
                </c:pt>
                <c:pt idx="57">
                  <c:v>380</c:v>
                </c:pt>
                <c:pt idx="58">
                  <c:v>117</c:v>
                </c:pt>
                <c:pt idx="59">
                  <c:v>270</c:v>
                </c:pt>
                <c:pt idx="60">
                  <c:v>246</c:v>
                </c:pt>
                <c:pt idx="61">
                  <c:v>134</c:v>
                </c:pt>
                <c:pt idx="62">
                  <c:v>457</c:v>
                </c:pt>
                <c:pt idx="63">
                  <c:v>704</c:v>
                </c:pt>
                <c:pt idx="64">
                  <c:v>513</c:v>
                </c:pt>
                <c:pt idx="65">
                  <c:v>163</c:v>
                </c:pt>
                <c:pt idx="66">
                  <c:v>511</c:v>
                </c:pt>
                <c:pt idx="67">
                  <c:v>426</c:v>
                </c:pt>
                <c:pt idx="68">
                  <c:v>32</c:v>
                </c:pt>
                <c:pt idx="69">
                  <c:v>637</c:v>
                </c:pt>
                <c:pt idx="70">
                  <c:v>478</c:v>
                </c:pt>
                <c:pt idx="71">
                  <c:v>375</c:v>
                </c:pt>
                <c:pt idx="72">
                  <c:v>904</c:v>
                </c:pt>
                <c:pt idx="73">
                  <c:v>106</c:v>
                </c:pt>
                <c:pt idx="74">
                  <c:v>241</c:v>
                </c:pt>
                <c:pt idx="75">
                  <c:v>359</c:v>
                </c:pt>
                <c:pt idx="76">
                  <c:v>946</c:v>
                </c:pt>
                <c:pt idx="77">
                  <c:v>198</c:v>
                </c:pt>
                <c:pt idx="78">
                  <c:v>150</c:v>
                </c:pt>
                <c:pt idx="79">
                  <c:v>872</c:v>
                </c:pt>
                <c:pt idx="80">
                  <c:v>774</c:v>
                </c:pt>
                <c:pt idx="81">
                  <c:v>336</c:v>
                </c:pt>
                <c:pt idx="82">
                  <c:v>663</c:v>
                </c:pt>
                <c:pt idx="83">
                  <c:v>618</c:v>
                </c:pt>
                <c:pt idx="84">
                  <c:v>25</c:v>
                </c:pt>
                <c:pt idx="85">
                  <c:v>223</c:v>
                </c:pt>
                <c:pt idx="86">
                  <c:v>79</c:v>
                </c:pt>
                <c:pt idx="87">
                  <c:v>737</c:v>
                </c:pt>
                <c:pt idx="88">
                  <c:v>134</c:v>
                </c:pt>
                <c:pt idx="89">
                  <c:v>980</c:v>
                </c:pt>
                <c:pt idx="90">
                  <c:v>320</c:v>
                </c:pt>
                <c:pt idx="91">
                  <c:v>916</c:v>
                </c:pt>
                <c:pt idx="92">
                  <c:v>276</c:v>
                </c:pt>
                <c:pt idx="93">
                  <c:v>114</c:v>
                </c:pt>
                <c:pt idx="94">
                  <c:v>987</c:v>
                </c:pt>
                <c:pt idx="95">
                  <c:v>672</c:v>
                </c:pt>
                <c:pt idx="96">
                  <c:v>324</c:v>
                </c:pt>
                <c:pt idx="97">
                  <c:v>62</c:v>
                </c:pt>
                <c:pt idx="98">
                  <c:v>913</c:v>
                </c:pt>
                <c:pt idx="99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94-4614-A834-EA4693256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898355760"/>
        <c:axId val="898358056"/>
      </c:barChart>
      <c:catAx>
        <c:axId val="89835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58056"/>
        <c:crosses val="autoZero"/>
        <c:auto val="1"/>
        <c:lblAlgn val="ctr"/>
        <c:lblOffset val="100"/>
        <c:noMultiLvlLbl val="0"/>
      </c:catAx>
      <c:valAx>
        <c:axId val="898358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9835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1).xlsx]Average Price by Product Type!PivotTable4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Average Price by Product Type</a:t>
            </a:r>
            <a:endParaRPr lang="en-US" sz="1400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Price by Product 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Price by Product Type'!$A$4:$A$7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'Average Price by Product Type'!$B$4:$B$7</c:f>
              <c:numCache>
                <c:formatCode>General</c:formatCode>
                <c:ptCount val="3"/>
                <c:pt idx="0">
                  <c:v>57.361153846153847</c:v>
                </c:pt>
                <c:pt idx="1">
                  <c:v>46.014117647058818</c:v>
                </c:pt>
                <c:pt idx="2">
                  <c:v>47.259499999999989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5B-446D-9810-EFE848E23F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03988016"/>
        <c:axId val="903982768"/>
      </c:barChart>
      <c:catAx>
        <c:axId val="90398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03982768"/>
        <c:crosses val="autoZero"/>
        <c:auto val="1"/>
        <c:lblAlgn val="ctr"/>
        <c:lblOffset val="100"/>
        <c:noMultiLvlLbl val="0"/>
      </c:catAx>
      <c:valAx>
        <c:axId val="903982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0398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/>
              <a:t>Impact of Price on Products Sold by SKU</a:t>
            </a:r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supply_chain!$C$1</c:f>
              <c:strCache>
                <c:ptCount val="1"/>
                <c:pt idx="0">
                  <c:v>Price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supply_chain!$B$2:$B$101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  <c:pt idx="6">
                  <c:v>SKU6</c:v>
                </c:pt>
                <c:pt idx="7">
                  <c:v>SKU7</c:v>
                </c:pt>
                <c:pt idx="8">
                  <c:v>SKU8</c:v>
                </c:pt>
                <c:pt idx="9">
                  <c:v>SKU9</c:v>
                </c:pt>
                <c:pt idx="10">
                  <c:v>SKU10</c:v>
                </c:pt>
                <c:pt idx="11">
                  <c:v>SKU11</c:v>
                </c:pt>
                <c:pt idx="12">
                  <c:v>SKU12</c:v>
                </c:pt>
                <c:pt idx="13">
                  <c:v>SKU13</c:v>
                </c:pt>
                <c:pt idx="14">
                  <c:v>SKU14</c:v>
                </c:pt>
                <c:pt idx="15">
                  <c:v>SKU15</c:v>
                </c:pt>
                <c:pt idx="16">
                  <c:v>SKU16</c:v>
                </c:pt>
                <c:pt idx="17">
                  <c:v>SKU17</c:v>
                </c:pt>
                <c:pt idx="18">
                  <c:v>SKU18</c:v>
                </c:pt>
                <c:pt idx="19">
                  <c:v>SKU19</c:v>
                </c:pt>
                <c:pt idx="20">
                  <c:v>SKU20</c:v>
                </c:pt>
                <c:pt idx="21">
                  <c:v>SKU21</c:v>
                </c:pt>
                <c:pt idx="22">
                  <c:v>SKU22</c:v>
                </c:pt>
                <c:pt idx="23">
                  <c:v>SKU23</c:v>
                </c:pt>
                <c:pt idx="24">
                  <c:v>SKU24</c:v>
                </c:pt>
                <c:pt idx="25">
                  <c:v>SKU25</c:v>
                </c:pt>
                <c:pt idx="26">
                  <c:v>SKU26</c:v>
                </c:pt>
                <c:pt idx="27">
                  <c:v>SKU27</c:v>
                </c:pt>
                <c:pt idx="28">
                  <c:v>SKU28</c:v>
                </c:pt>
                <c:pt idx="29">
                  <c:v>SKU29</c:v>
                </c:pt>
                <c:pt idx="30">
                  <c:v>SKU30</c:v>
                </c:pt>
                <c:pt idx="31">
                  <c:v>SKU31</c:v>
                </c:pt>
                <c:pt idx="32">
                  <c:v>SKU32</c:v>
                </c:pt>
                <c:pt idx="33">
                  <c:v>SKU33</c:v>
                </c:pt>
                <c:pt idx="34">
                  <c:v>SKU34</c:v>
                </c:pt>
                <c:pt idx="35">
                  <c:v>SKU35</c:v>
                </c:pt>
                <c:pt idx="36">
                  <c:v>SKU36</c:v>
                </c:pt>
                <c:pt idx="37">
                  <c:v>SKU37</c:v>
                </c:pt>
                <c:pt idx="38">
                  <c:v>SKU38</c:v>
                </c:pt>
                <c:pt idx="39">
                  <c:v>SKU39</c:v>
                </c:pt>
                <c:pt idx="40">
                  <c:v>SKU40</c:v>
                </c:pt>
                <c:pt idx="41">
                  <c:v>SKU41</c:v>
                </c:pt>
                <c:pt idx="42">
                  <c:v>SKU42</c:v>
                </c:pt>
                <c:pt idx="43">
                  <c:v>SKU43</c:v>
                </c:pt>
                <c:pt idx="44">
                  <c:v>SKU44</c:v>
                </c:pt>
                <c:pt idx="45">
                  <c:v>SKU45</c:v>
                </c:pt>
                <c:pt idx="46">
                  <c:v>SKU46</c:v>
                </c:pt>
                <c:pt idx="47">
                  <c:v>SKU47</c:v>
                </c:pt>
                <c:pt idx="48">
                  <c:v>SKU48</c:v>
                </c:pt>
                <c:pt idx="49">
                  <c:v>SKU49</c:v>
                </c:pt>
                <c:pt idx="50">
                  <c:v>SKU50</c:v>
                </c:pt>
                <c:pt idx="51">
                  <c:v>SKU51</c:v>
                </c:pt>
                <c:pt idx="52">
                  <c:v>SKU52</c:v>
                </c:pt>
                <c:pt idx="53">
                  <c:v>SKU53</c:v>
                </c:pt>
                <c:pt idx="54">
                  <c:v>SKU54</c:v>
                </c:pt>
                <c:pt idx="55">
                  <c:v>SKU55</c:v>
                </c:pt>
                <c:pt idx="56">
                  <c:v>SKU56</c:v>
                </c:pt>
                <c:pt idx="57">
                  <c:v>SKU57</c:v>
                </c:pt>
                <c:pt idx="58">
                  <c:v>SKU58</c:v>
                </c:pt>
                <c:pt idx="59">
                  <c:v>SKU59</c:v>
                </c:pt>
                <c:pt idx="60">
                  <c:v>SKU60</c:v>
                </c:pt>
                <c:pt idx="61">
                  <c:v>SKU61</c:v>
                </c:pt>
                <c:pt idx="62">
                  <c:v>SKU62</c:v>
                </c:pt>
                <c:pt idx="63">
                  <c:v>SKU63</c:v>
                </c:pt>
                <c:pt idx="64">
                  <c:v>SKU64</c:v>
                </c:pt>
                <c:pt idx="65">
                  <c:v>SKU65</c:v>
                </c:pt>
                <c:pt idx="66">
                  <c:v>SKU66</c:v>
                </c:pt>
                <c:pt idx="67">
                  <c:v>SKU67</c:v>
                </c:pt>
                <c:pt idx="68">
                  <c:v>SKU68</c:v>
                </c:pt>
                <c:pt idx="69">
                  <c:v>SKU69</c:v>
                </c:pt>
                <c:pt idx="70">
                  <c:v>SKU70</c:v>
                </c:pt>
                <c:pt idx="71">
                  <c:v>SKU71</c:v>
                </c:pt>
                <c:pt idx="72">
                  <c:v>SKU72</c:v>
                </c:pt>
                <c:pt idx="73">
                  <c:v>SKU73</c:v>
                </c:pt>
                <c:pt idx="74">
                  <c:v>SKU74</c:v>
                </c:pt>
                <c:pt idx="75">
                  <c:v>SKU75</c:v>
                </c:pt>
                <c:pt idx="76">
                  <c:v>SKU76</c:v>
                </c:pt>
                <c:pt idx="77">
                  <c:v>SKU77</c:v>
                </c:pt>
                <c:pt idx="78">
                  <c:v>SKU78</c:v>
                </c:pt>
                <c:pt idx="79">
                  <c:v>SKU79</c:v>
                </c:pt>
                <c:pt idx="80">
                  <c:v>SKU80</c:v>
                </c:pt>
                <c:pt idx="81">
                  <c:v>SKU81</c:v>
                </c:pt>
                <c:pt idx="82">
                  <c:v>SKU82</c:v>
                </c:pt>
                <c:pt idx="83">
                  <c:v>SKU83</c:v>
                </c:pt>
                <c:pt idx="84">
                  <c:v>SKU84</c:v>
                </c:pt>
                <c:pt idx="85">
                  <c:v>SKU85</c:v>
                </c:pt>
                <c:pt idx="86">
                  <c:v>SKU86</c:v>
                </c:pt>
                <c:pt idx="87">
                  <c:v>SKU87</c:v>
                </c:pt>
                <c:pt idx="88">
                  <c:v>SKU88</c:v>
                </c:pt>
                <c:pt idx="89">
                  <c:v>SKU89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xVal>
          <c:yVal>
            <c:numRef>
              <c:f>supply_chain!$C$2:$C$101</c:f>
              <c:numCache>
                <c:formatCode>General</c:formatCode>
                <c:ptCount val="100"/>
                <c:pt idx="0">
                  <c:v>69.81</c:v>
                </c:pt>
                <c:pt idx="1">
                  <c:v>14.84</c:v>
                </c:pt>
                <c:pt idx="2">
                  <c:v>11.32</c:v>
                </c:pt>
                <c:pt idx="3">
                  <c:v>61.16</c:v>
                </c:pt>
                <c:pt idx="4">
                  <c:v>4.8099999999999996</c:v>
                </c:pt>
                <c:pt idx="5">
                  <c:v>1.7</c:v>
                </c:pt>
                <c:pt idx="6">
                  <c:v>4.08</c:v>
                </c:pt>
                <c:pt idx="7">
                  <c:v>42.96</c:v>
                </c:pt>
                <c:pt idx="8">
                  <c:v>68.72</c:v>
                </c:pt>
                <c:pt idx="9">
                  <c:v>64.02</c:v>
                </c:pt>
                <c:pt idx="10">
                  <c:v>15.71</c:v>
                </c:pt>
                <c:pt idx="11">
                  <c:v>90.64</c:v>
                </c:pt>
                <c:pt idx="12">
                  <c:v>71.209999999999994</c:v>
                </c:pt>
                <c:pt idx="13">
                  <c:v>16.16</c:v>
                </c:pt>
                <c:pt idx="14">
                  <c:v>99.17</c:v>
                </c:pt>
                <c:pt idx="15">
                  <c:v>36.99</c:v>
                </c:pt>
                <c:pt idx="16">
                  <c:v>7.55</c:v>
                </c:pt>
                <c:pt idx="17">
                  <c:v>81.459999999999994</c:v>
                </c:pt>
                <c:pt idx="18">
                  <c:v>36.44</c:v>
                </c:pt>
                <c:pt idx="19">
                  <c:v>51.12</c:v>
                </c:pt>
                <c:pt idx="20">
                  <c:v>96.34</c:v>
                </c:pt>
                <c:pt idx="21">
                  <c:v>84.89</c:v>
                </c:pt>
                <c:pt idx="22">
                  <c:v>27.68</c:v>
                </c:pt>
                <c:pt idx="23">
                  <c:v>4.32</c:v>
                </c:pt>
                <c:pt idx="24">
                  <c:v>4.16</c:v>
                </c:pt>
                <c:pt idx="25">
                  <c:v>39.630000000000003</c:v>
                </c:pt>
                <c:pt idx="26">
                  <c:v>97.45</c:v>
                </c:pt>
                <c:pt idx="27">
                  <c:v>92.56</c:v>
                </c:pt>
                <c:pt idx="28">
                  <c:v>2.4</c:v>
                </c:pt>
                <c:pt idx="29">
                  <c:v>63.45</c:v>
                </c:pt>
                <c:pt idx="30">
                  <c:v>8.02</c:v>
                </c:pt>
                <c:pt idx="31">
                  <c:v>50.85</c:v>
                </c:pt>
                <c:pt idx="32">
                  <c:v>79.209999999999994</c:v>
                </c:pt>
                <c:pt idx="33">
                  <c:v>64.8</c:v>
                </c:pt>
                <c:pt idx="34">
                  <c:v>37.47</c:v>
                </c:pt>
                <c:pt idx="35">
                  <c:v>84.96</c:v>
                </c:pt>
                <c:pt idx="36">
                  <c:v>9.81</c:v>
                </c:pt>
                <c:pt idx="37">
                  <c:v>23.4</c:v>
                </c:pt>
                <c:pt idx="38">
                  <c:v>52.08</c:v>
                </c:pt>
                <c:pt idx="39">
                  <c:v>19.13</c:v>
                </c:pt>
                <c:pt idx="40">
                  <c:v>80.540000000000006</c:v>
                </c:pt>
                <c:pt idx="41">
                  <c:v>99.11</c:v>
                </c:pt>
                <c:pt idx="42">
                  <c:v>46.53</c:v>
                </c:pt>
                <c:pt idx="43">
                  <c:v>11.74</c:v>
                </c:pt>
                <c:pt idx="44">
                  <c:v>51.36</c:v>
                </c:pt>
                <c:pt idx="45">
                  <c:v>33.78</c:v>
                </c:pt>
                <c:pt idx="46">
                  <c:v>27.08</c:v>
                </c:pt>
                <c:pt idx="47">
                  <c:v>95.71</c:v>
                </c:pt>
                <c:pt idx="48">
                  <c:v>76.040000000000006</c:v>
                </c:pt>
                <c:pt idx="49">
                  <c:v>78.900000000000006</c:v>
                </c:pt>
                <c:pt idx="50">
                  <c:v>14.2</c:v>
                </c:pt>
                <c:pt idx="51">
                  <c:v>26.7</c:v>
                </c:pt>
                <c:pt idx="52">
                  <c:v>98.03</c:v>
                </c:pt>
                <c:pt idx="53">
                  <c:v>30.34</c:v>
                </c:pt>
                <c:pt idx="54">
                  <c:v>31.15</c:v>
                </c:pt>
                <c:pt idx="55">
                  <c:v>79.86</c:v>
                </c:pt>
                <c:pt idx="56">
                  <c:v>20.99</c:v>
                </c:pt>
                <c:pt idx="57">
                  <c:v>49.26</c:v>
                </c:pt>
                <c:pt idx="58">
                  <c:v>59.84</c:v>
                </c:pt>
                <c:pt idx="59">
                  <c:v>63.83</c:v>
                </c:pt>
                <c:pt idx="60">
                  <c:v>17.03</c:v>
                </c:pt>
                <c:pt idx="61">
                  <c:v>52.03</c:v>
                </c:pt>
                <c:pt idx="62">
                  <c:v>72.8</c:v>
                </c:pt>
                <c:pt idx="63">
                  <c:v>13.02</c:v>
                </c:pt>
                <c:pt idx="64">
                  <c:v>89.63</c:v>
                </c:pt>
                <c:pt idx="65">
                  <c:v>33.700000000000003</c:v>
                </c:pt>
                <c:pt idx="66">
                  <c:v>26.03</c:v>
                </c:pt>
                <c:pt idx="67">
                  <c:v>87.76</c:v>
                </c:pt>
                <c:pt idx="68">
                  <c:v>37.93</c:v>
                </c:pt>
                <c:pt idx="69">
                  <c:v>54.87</c:v>
                </c:pt>
                <c:pt idx="70">
                  <c:v>47.91</c:v>
                </c:pt>
                <c:pt idx="71">
                  <c:v>6.38</c:v>
                </c:pt>
                <c:pt idx="72">
                  <c:v>90.2</c:v>
                </c:pt>
                <c:pt idx="73">
                  <c:v>83.85</c:v>
                </c:pt>
                <c:pt idx="74">
                  <c:v>3.17</c:v>
                </c:pt>
                <c:pt idx="75">
                  <c:v>93</c:v>
                </c:pt>
                <c:pt idx="76">
                  <c:v>69.11</c:v>
                </c:pt>
                <c:pt idx="77">
                  <c:v>57.45</c:v>
                </c:pt>
                <c:pt idx="78">
                  <c:v>6.31</c:v>
                </c:pt>
                <c:pt idx="79">
                  <c:v>57.06</c:v>
                </c:pt>
                <c:pt idx="80">
                  <c:v>91.13</c:v>
                </c:pt>
                <c:pt idx="81">
                  <c:v>72.819999999999993</c:v>
                </c:pt>
                <c:pt idx="82">
                  <c:v>17.03</c:v>
                </c:pt>
                <c:pt idx="83">
                  <c:v>68.91</c:v>
                </c:pt>
                <c:pt idx="84">
                  <c:v>89.1</c:v>
                </c:pt>
                <c:pt idx="85">
                  <c:v>76.959999999999994</c:v>
                </c:pt>
                <c:pt idx="86">
                  <c:v>20</c:v>
                </c:pt>
                <c:pt idx="87">
                  <c:v>80.41</c:v>
                </c:pt>
                <c:pt idx="88">
                  <c:v>75.27</c:v>
                </c:pt>
                <c:pt idx="89">
                  <c:v>97.76</c:v>
                </c:pt>
                <c:pt idx="90">
                  <c:v>13.88</c:v>
                </c:pt>
                <c:pt idx="91">
                  <c:v>62.11</c:v>
                </c:pt>
                <c:pt idx="92">
                  <c:v>47.71</c:v>
                </c:pt>
                <c:pt idx="93">
                  <c:v>69.290000000000006</c:v>
                </c:pt>
                <c:pt idx="94">
                  <c:v>3.04</c:v>
                </c:pt>
                <c:pt idx="95">
                  <c:v>77.900000000000006</c:v>
                </c:pt>
                <c:pt idx="96">
                  <c:v>24.42</c:v>
                </c:pt>
                <c:pt idx="97">
                  <c:v>3.53</c:v>
                </c:pt>
                <c:pt idx="98">
                  <c:v>19.75</c:v>
                </c:pt>
                <c:pt idx="99">
                  <c:v>68.52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A9-4FBC-B29F-23CC8C5B6D1D}"/>
            </c:ext>
          </c:extLst>
        </c:ser>
        <c:ser>
          <c:idx val="1"/>
          <c:order val="1"/>
          <c:tx>
            <c:strRef>
              <c:f>supply_chain!$E$1</c:f>
              <c:strCache>
                <c:ptCount val="1"/>
                <c:pt idx="0">
                  <c:v>Number of products sold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supply_chain!$B$2:$B$101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  <c:pt idx="6">
                  <c:v>SKU6</c:v>
                </c:pt>
                <c:pt idx="7">
                  <c:v>SKU7</c:v>
                </c:pt>
                <c:pt idx="8">
                  <c:v>SKU8</c:v>
                </c:pt>
                <c:pt idx="9">
                  <c:v>SKU9</c:v>
                </c:pt>
                <c:pt idx="10">
                  <c:v>SKU10</c:v>
                </c:pt>
                <c:pt idx="11">
                  <c:v>SKU11</c:v>
                </c:pt>
                <c:pt idx="12">
                  <c:v>SKU12</c:v>
                </c:pt>
                <c:pt idx="13">
                  <c:v>SKU13</c:v>
                </c:pt>
                <c:pt idx="14">
                  <c:v>SKU14</c:v>
                </c:pt>
                <c:pt idx="15">
                  <c:v>SKU15</c:v>
                </c:pt>
                <c:pt idx="16">
                  <c:v>SKU16</c:v>
                </c:pt>
                <c:pt idx="17">
                  <c:v>SKU17</c:v>
                </c:pt>
                <c:pt idx="18">
                  <c:v>SKU18</c:v>
                </c:pt>
                <c:pt idx="19">
                  <c:v>SKU19</c:v>
                </c:pt>
                <c:pt idx="20">
                  <c:v>SKU20</c:v>
                </c:pt>
                <c:pt idx="21">
                  <c:v>SKU21</c:v>
                </c:pt>
                <c:pt idx="22">
                  <c:v>SKU22</c:v>
                </c:pt>
                <c:pt idx="23">
                  <c:v>SKU23</c:v>
                </c:pt>
                <c:pt idx="24">
                  <c:v>SKU24</c:v>
                </c:pt>
                <c:pt idx="25">
                  <c:v>SKU25</c:v>
                </c:pt>
                <c:pt idx="26">
                  <c:v>SKU26</c:v>
                </c:pt>
                <c:pt idx="27">
                  <c:v>SKU27</c:v>
                </c:pt>
                <c:pt idx="28">
                  <c:v>SKU28</c:v>
                </c:pt>
                <c:pt idx="29">
                  <c:v>SKU29</c:v>
                </c:pt>
                <c:pt idx="30">
                  <c:v>SKU30</c:v>
                </c:pt>
                <c:pt idx="31">
                  <c:v>SKU31</c:v>
                </c:pt>
                <c:pt idx="32">
                  <c:v>SKU32</c:v>
                </c:pt>
                <c:pt idx="33">
                  <c:v>SKU33</c:v>
                </c:pt>
                <c:pt idx="34">
                  <c:v>SKU34</c:v>
                </c:pt>
                <c:pt idx="35">
                  <c:v>SKU35</c:v>
                </c:pt>
                <c:pt idx="36">
                  <c:v>SKU36</c:v>
                </c:pt>
                <c:pt idx="37">
                  <c:v>SKU37</c:v>
                </c:pt>
                <c:pt idx="38">
                  <c:v>SKU38</c:v>
                </c:pt>
                <c:pt idx="39">
                  <c:v>SKU39</c:v>
                </c:pt>
                <c:pt idx="40">
                  <c:v>SKU40</c:v>
                </c:pt>
                <c:pt idx="41">
                  <c:v>SKU41</c:v>
                </c:pt>
                <c:pt idx="42">
                  <c:v>SKU42</c:v>
                </c:pt>
                <c:pt idx="43">
                  <c:v>SKU43</c:v>
                </c:pt>
                <c:pt idx="44">
                  <c:v>SKU44</c:v>
                </c:pt>
                <c:pt idx="45">
                  <c:v>SKU45</c:v>
                </c:pt>
                <c:pt idx="46">
                  <c:v>SKU46</c:v>
                </c:pt>
                <c:pt idx="47">
                  <c:v>SKU47</c:v>
                </c:pt>
                <c:pt idx="48">
                  <c:v>SKU48</c:v>
                </c:pt>
                <c:pt idx="49">
                  <c:v>SKU49</c:v>
                </c:pt>
                <c:pt idx="50">
                  <c:v>SKU50</c:v>
                </c:pt>
                <c:pt idx="51">
                  <c:v>SKU51</c:v>
                </c:pt>
                <c:pt idx="52">
                  <c:v>SKU52</c:v>
                </c:pt>
                <c:pt idx="53">
                  <c:v>SKU53</c:v>
                </c:pt>
                <c:pt idx="54">
                  <c:v>SKU54</c:v>
                </c:pt>
                <c:pt idx="55">
                  <c:v>SKU55</c:v>
                </c:pt>
                <c:pt idx="56">
                  <c:v>SKU56</c:v>
                </c:pt>
                <c:pt idx="57">
                  <c:v>SKU57</c:v>
                </c:pt>
                <c:pt idx="58">
                  <c:v>SKU58</c:v>
                </c:pt>
                <c:pt idx="59">
                  <c:v>SKU59</c:v>
                </c:pt>
                <c:pt idx="60">
                  <c:v>SKU60</c:v>
                </c:pt>
                <c:pt idx="61">
                  <c:v>SKU61</c:v>
                </c:pt>
                <c:pt idx="62">
                  <c:v>SKU62</c:v>
                </c:pt>
                <c:pt idx="63">
                  <c:v>SKU63</c:v>
                </c:pt>
                <c:pt idx="64">
                  <c:v>SKU64</c:v>
                </c:pt>
                <c:pt idx="65">
                  <c:v>SKU65</c:v>
                </c:pt>
                <c:pt idx="66">
                  <c:v>SKU66</c:v>
                </c:pt>
                <c:pt idx="67">
                  <c:v>SKU67</c:v>
                </c:pt>
                <c:pt idx="68">
                  <c:v>SKU68</c:v>
                </c:pt>
                <c:pt idx="69">
                  <c:v>SKU69</c:v>
                </c:pt>
                <c:pt idx="70">
                  <c:v>SKU70</c:v>
                </c:pt>
                <c:pt idx="71">
                  <c:v>SKU71</c:v>
                </c:pt>
                <c:pt idx="72">
                  <c:v>SKU72</c:v>
                </c:pt>
                <c:pt idx="73">
                  <c:v>SKU73</c:v>
                </c:pt>
                <c:pt idx="74">
                  <c:v>SKU74</c:v>
                </c:pt>
                <c:pt idx="75">
                  <c:v>SKU75</c:v>
                </c:pt>
                <c:pt idx="76">
                  <c:v>SKU76</c:v>
                </c:pt>
                <c:pt idx="77">
                  <c:v>SKU77</c:v>
                </c:pt>
                <c:pt idx="78">
                  <c:v>SKU78</c:v>
                </c:pt>
                <c:pt idx="79">
                  <c:v>SKU79</c:v>
                </c:pt>
                <c:pt idx="80">
                  <c:v>SKU80</c:v>
                </c:pt>
                <c:pt idx="81">
                  <c:v>SKU81</c:v>
                </c:pt>
                <c:pt idx="82">
                  <c:v>SKU82</c:v>
                </c:pt>
                <c:pt idx="83">
                  <c:v>SKU83</c:v>
                </c:pt>
                <c:pt idx="84">
                  <c:v>SKU84</c:v>
                </c:pt>
                <c:pt idx="85">
                  <c:v>SKU85</c:v>
                </c:pt>
                <c:pt idx="86">
                  <c:v>SKU86</c:v>
                </c:pt>
                <c:pt idx="87">
                  <c:v>SKU87</c:v>
                </c:pt>
                <c:pt idx="88">
                  <c:v>SKU88</c:v>
                </c:pt>
                <c:pt idx="89">
                  <c:v>SKU89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xVal>
          <c:yVal>
            <c:numRef>
              <c:f>supply_chain!$E$2:$E$101</c:f>
              <c:numCache>
                <c:formatCode>General</c:formatCode>
                <c:ptCount val="100"/>
                <c:pt idx="0">
                  <c:v>802</c:v>
                </c:pt>
                <c:pt idx="1">
                  <c:v>736</c:v>
                </c:pt>
                <c:pt idx="2">
                  <c:v>8</c:v>
                </c:pt>
                <c:pt idx="3">
                  <c:v>83</c:v>
                </c:pt>
                <c:pt idx="4">
                  <c:v>871</c:v>
                </c:pt>
                <c:pt idx="5">
                  <c:v>147</c:v>
                </c:pt>
                <c:pt idx="6">
                  <c:v>65</c:v>
                </c:pt>
                <c:pt idx="7">
                  <c:v>426</c:v>
                </c:pt>
                <c:pt idx="8">
                  <c:v>150</c:v>
                </c:pt>
                <c:pt idx="9">
                  <c:v>980</c:v>
                </c:pt>
                <c:pt idx="10">
                  <c:v>996</c:v>
                </c:pt>
                <c:pt idx="11">
                  <c:v>960</c:v>
                </c:pt>
                <c:pt idx="12">
                  <c:v>336</c:v>
                </c:pt>
                <c:pt idx="13">
                  <c:v>249</c:v>
                </c:pt>
                <c:pt idx="14">
                  <c:v>562</c:v>
                </c:pt>
                <c:pt idx="15">
                  <c:v>469</c:v>
                </c:pt>
                <c:pt idx="16">
                  <c:v>280</c:v>
                </c:pt>
                <c:pt idx="17">
                  <c:v>126</c:v>
                </c:pt>
                <c:pt idx="18">
                  <c:v>620</c:v>
                </c:pt>
                <c:pt idx="19">
                  <c:v>187</c:v>
                </c:pt>
                <c:pt idx="20">
                  <c:v>320</c:v>
                </c:pt>
                <c:pt idx="21">
                  <c:v>601</c:v>
                </c:pt>
                <c:pt idx="22">
                  <c:v>884</c:v>
                </c:pt>
                <c:pt idx="23">
                  <c:v>391</c:v>
                </c:pt>
                <c:pt idx="24">
                  <c:v>209</c:v>
                </c:pt>
                <c:pt idx="25">
                  <c:v>142</c:v>
                </c:pt>
                <c:pt idx="26">
                  <c:v>353</c:v>
                </c:pt>
                <c:pt idx="27">
                  <c:v>352</c:v>
                </c:pt>
                <c:pt idx="28">
                  <c:v>394</c:v>
                </c:pt>
                <c:pt idx="29">
                  <c:v>253</c:v>
                </c:pt>
                <c:pt idx="30">
                  <c:v>327</c:v>
                </c:pt>
                <c:pt idx="31">
                  <c:v>168</c:v>
                </c:pt>
                <c:pt idx="32">
                  <c:v>781</c:v>
                </c:pt>
                <c:pt idx="33">
                  <c:v>616</c:v>
                </c:pt>
                <c:pt idx="34">
                  <c:v>602</c:v>
                </c:pt>
                <c:pt idx="35">
                  <c:v>449</c:v>
                </c:pt>
                <c:pt idx="36">
                  <c:v>963</c:v>
                </c:pt>
                <c:pt idx="37">
                  <c:v>963</c:v>
                </c:pt>
                <c:pt idx="38">
                  <c:v>705</c:v>
                </c:pt>
                <c:pt idx="39">
                  <c:v>176</c:v>
                </c:pt>
                <c:pt idx="40">
                  <c:v>933</c:v>
                </c:pt>
                <c:pt idx="41">
                  <c:v>556</c:v>
                </c:pt>
                <c:pt idx="42">
                  <c:v>155</c:v>
                </c:pt>
                <c:pt idx="43">
                  <c:v>598</c:v>
                </c:pt>
                <c:pt idx="44">
                  <c:v>919</c:v>
                </c:pt>
                <c:pt idx="45">
                  <c:v>24</c:v>
                </c:pt>
                <c:pt idx="46">
                  <c:v>859</c:v>
                </c:pt>
                <c:pt idx="47">
                  <c:v>910</c:v>
                </c:pt>
                <c:pt idx="48">
                  <c:v>29</c:v>
                </c:pt>
                <c:pt idx="49">
                  <c:v>99</c:v>
                </c:pt>
                <c:pt idx="50">
                  <c:v>633</c:v>
                </c:pt>
                <c:pt idx="51">
                  <c:v>154</c:v>
                </c:pt>
                <c:pt idx="52">
                  <c:v>820</c:v>
                </c:pt>
                <c:pt idx="53">
                  <c:v>242</c:v>
                </c:pt>
                <c:pt idx="54">
                  <c:v>622</c:v>
                </c:pt>
                <c:pt idx="55">
                  <c:v>701</c:v>
                </c:pt>
                <c:pt idx="56">
                  <c:v>93</c:v>
                </c:pt>
                <c:pt idx="57">
                  <c:v>227</c:v>
                </c:pt>
                <c:pt idx="58">
                  <c:v>896</c:v>
                </c:pt>
                <c:pt idx="59">
                  <c:v>484</c:v>
                </c:pt>
                <c:pt idx="60">
                  <c:v>380</c:v>
                </c:pt>
                <c:pt idx="61">
                  <c:v>117</c:v>
                </c:pt>
                <c:pt idx="62">
                  <c:v>270</c:v>
                </c:pt>
                <c:pt idx="63">
                  <c:v>246</c:v>
                </c:pt>
                <c:pt idx="64">
                  <c:v>134</c:v>
                </c:pt>
                <c:pt idx="65">
                  <c:v>457</c:v>
                </c:pt>
                <c:pt idx="66">
                  <c:v>704</c:v>
                </c:pt>
                <c:pt idx="67">
                  <c:v>513</c:v>
                </c:pt>
                <c:pt idx="68">
                  <c:v>163</c:v>
                </c:pt>
                <c:pt idx="69">
                  <c:v>511</c:v>
                </c:pt>
                <c:pt idx="70">
                  <c:v>32</c:v>
                </c:pt>
                <c:pt idx="71">
                  <c:v>637</c:v>
                </c:pt>
                <c:pt idx="72">
                  <c:v>478</c:v>
                </c:pt>
                <c:pt idx="73">
                  <c:v>375</c:v>
                </c:pt>
                <c:pt idx="74">
                  <c:v>904</c:v>
                </c:pt>
                <c:pt idx="75">
                  <c:v>106</c:v>
                </c:pt>
                <c:pt idx="76">
                  <c:v>241</c:v>
                </c:pt>
                <c:pt idx="77">
                  <c:v>359</c:v>
                </c:pt>
                <c:pt idx="78">
                  <c:v>946</c:v>
                </c:pt>
                <c:pt idx="79">
                  <c:v>198</c:v>
                </c:pt>
                <c:pt idx="80">
                  <c:v>872</c:v>
                </c:pt>
                <c:pt idx="81">
                  <c:v>774</c:v>
                </c:pt>
                <c:pt idx="82">
                  <c:v>336</c:v>
                </c:pt>
                <c:pt idx="83">
                  <c:v>663</c:v>
                </c:pt>
                <c:pt idx="84">
                  <c:v>618</c:v>
                </c:pt>
                <c:pt idx="85">
                  <c:v>25</c:v>
                </c:pt>
                <c:pt idx="86">
                  <c:v>223</c:v>
                </c:pt>
                <c:pt idx="87">
                  <c:v>79</c:v>
                </c:pt>
                <c:pt idx="88">
                  <c:v>737</c:v>
                </c:pt>
                <c:pt idx="89">
                  <c:v>134</c:v>
                </c:pt>
                <c:pt idx="90">
                  <c:v>320</c:v>
                </c:pt>
                <c:pt idx="91">
                  <c:v>916</c:v>
                </c:pt>
                <c:pt idx="92">
                  <c:v>276</c:v>
                </c:pt>
                <c:pt idx="93">
                  <c:v>114</c:v>
                </c:pt>
                <c:pt idx="94">
                  <c:v>987</c:v>
                </c:pt>
                <c:pt idx="95">
                  <c:v>672</c:v>
                </c:pt>
                <c:pt idx="96">
                  <c:v>324</c:v>
                </c:pt>
                <c:pt idx="97">
                  <c:v>62</c:v>
                </c:pt>
                <c:pt idx="98">
                  <c:v>913</c:v>
                </c:pt>
                <c:pt idx="99">
                  <c:v>627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A9-4FBC-B29F-23CC8C5B6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368224"/>
        <c:axId val="898376424"/>
      </c:scatterChart>
      <c:valAx>
        <c:axId val="89836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76424"/>
        <c:crosses val="autoZero"/>
        <c:crossBetween val="midCat"/>
      </c:valAx>
      <c:valAx>
        <c:axId val="898376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6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1).xlsx]Products Sold by Customer Demog!inventory turnover per SKU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/>
              <a:t>Products Sold by Customer Demographics and Product Type</a:t>
            </a:r>
            <a:endParaRPr lang="en-US" sz="1200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'Products Sold by Customer Demog'!$B$3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'Products Sold by Customer Demog'!$A$4:$A$19</c:f>
              <c:multiLvlStrCache>
                <c:ptCount val="12"/>
                <c:lvl>
                  <c:pt idx="0">
                    <c:v>Female</c:v>
                  </c:pt>
                  <c:pt idx="1">
                    <c:v>Male</c:v>
                  </c:pt>
                  <c:pt idx="2">
                    <c:v>Non-binary</c:v>
                  </c:pt>
                  <c:pt idx="3">
                    <c:v>Unknown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Non-binary</c:v>
                  </c:pt>
                  <c:pt idx="7">
                    <c:v>Unknown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Non-binary</c:v>
                  </c:pt>
                  <c:pt idx="11">
                    <c:v>Unknown</c:v>
                  </c:pt>
                </c:lvl>
                <c:lvl>
                  <c:pt idx="0">
                    <c:v>cosmetics</c:v>
                  </c:pt>
                  <c:pt idx="4">
                    <c:v>haircare</c:v>
                  </c:pt>
                  <c:pt idx="8">
                    <c:v>skincare</c:v>
                  </c:pt>
                </c:lvl>
              </c:multiLvlStrCache>
            </c:multiLvlStrRef>
          </c:cat>
          <c:val>
            <c:numRef>
              <c:f>'Products Sold by Customer Demog'!$B$4:$B$19</c:f>
              <c:numCache>
                <c:formatCode>General</c:formatCode>
                <c:ptCount val="12"/>
                <c:pt idx="0">
                  <c:v>4012</c:v>
                </c:pt>
                <c:pt idx="1">
                  <c:v>2304</c:v>
                </c:pt>
                <c:pt idx="2">
                  <c:v>2607</c:v>
                </c:pt>
                <c:pt idx="3">
                  <c:v>2834</c:v>
                </c:pt>
                <c:pt idx="4">
                  <c:v>936</c:v>
                </c:pt>
                <c:pt idx="5">
                  <c:v>2292</c:v>
                </c:pt>
                <c:pt idx="6">
                  <c:v>2820</c:v>
                </c:pt>
                <c:pt idx="7">
                  <c:v>7563</c:v>
                </c:pt>
                <c:pt idx="8">
                  <c:v>7853</c:v>
                </c:pt>
                <c:pt idx="9">
                  <c:v>2911</c:v>
                </c:pt>
                <c:pt idx="10">
                  <c:v>5153</c:v>
                </c:pt>
                <c:pt idx="11">
                  <c:v>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0-41D2-86A6-5F26842D6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012675968"/>
        <c:axId val="1012674000"/>
      </c:barChart>
      <c:catAx>
        <c:axId val="1012675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12674000"/>
        <c:crosses val="autoZero"/>
        <c:auto val="1"/>
        <c:lblAlgn val="ctr"/>
        <c:lblOffset val="100"/>
        <c:noMultiLvlLbl val="0"/>
      </c:catAx>
      <c:valAx>
        <c:axId val="101267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1267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1).xlsx]Revenue Distribution by Custome!PivotTable8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Revenue Distribution by Customer Demographics</a:t>
            </a:r>
            <a:endParaRPr lang="en-US" sz="1400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Distribution by Custome'!$B$3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'Revenue Distribution by Custome'!$A$4:$A$8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Unknown</c:v>
                </c:pt>
              </c:strCache>
            </c:strRef>
          </c:cat>
          <c:val>
            <c:numRef>
              <c:f>'Revenue Distribution by Custome'!$B$4:$B$8</c:f>
              <c:numCache>
                <c:formatCode>General</c:formatCode>
                <c:ptCount val="4"/>
                <c:pt idx="0">
                  <c:v>161514.49000000005</c:v>
                </c:pt>
                <c:pt idx="1">
                  <c:v>126634.42000000003</c:v>
                </c:pt>
                <c:pt idx="2">
                  <c:v>116365.81</c:v>
                </c:pt>
                <c:pt idx="3">
                  <c:v>173090.13999999996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49-48EC-927A-E86DF3D1A55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95645136"/>
        <c:axId val="695641528"/>
      </c:barChart>
      <c:catAx>
        <c:axId val="69564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695641528"/>
        <c:crosses val="autoZero"/>
        <c:auto val="1"/>
        <c:lblAlgn val="ctr"/>
        <c:lblOffset val="100"/>
        <c:noMultiLvlLbl val="0"/>
      </c:catAx>
      <c:valAx>
        <c:axId val="695641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564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1).xlsx]Inventory Turnover Analysis by 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Inventory Turnover Analysis by SKU</a:t>
            </a:r>
            <a:endParaRPr lang="en-US" sz="1600"/>
          </a:p>
        </c:rich>
      </c:tx>
      <c:layout>
        <c:manualLayout>
          <c:xMode val="edge"/>
          <c:yMode val="edge"/>
          <c:x val="0.15038499953200549"/>
          <c:y val="2.6474594985600529E-2"/>
        </c:manualLayout>
      </c:layout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Turnover Analysis by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'Inventory Turnover Analysis by '!$A$4:$A$105</c:f>
              <c:strCache>
                <c:ptCount val="101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  <c:pt idx="100">
                  <c:v>(blank)</c:v>
                </c:pt>
              </c:strCache>
            </c:strRef>
          </c:cat>
          <c:val>
            <c:numRef>
              <c:f>'Inventory Turnover Analysis by '!$B$4:$B$105</c:f>
              <c:numCache>
                <c:formatCode>General</c:formatCode>
                <c:ptCount val="101"/>
                <c:pt idx="0">
                  <c:v>16.788779568767008</c:v>
                </c:pt>
                <c:pt idx="1">
                  <c:v>15.407159305003139</c:v>
                </c:pt>
                <c:pt idx="2">
                  <c:v>20.84990579861838</c:v>
                </c:pt>
                <c:pt idx="3">
                  <c:v>20.096294745656269</c:v>
                </c:pt>
                <c:pt idx="4">
                  <c:v>7.0337031609796936</c:v>
                </c:pt>
                <c:pt idx="5">
                  <c:v>5.212476449654595</c:v>
                </c:pt>
                <c:pt idx="6">
                  <c:v>11.76470588235294</c:v>
                </c:pt>
                <c:pt idx="7">
                  <c:v>9.817877328867489</c:v>
                </c:pt>
                <c:pt idx="8">
                  <c:v>5.8614193008164115</c:v>
                </c:pt>
                <c:pt idx="9">
                  <c:v>2.637638685367385</c:v>
                </c:pt>
                <c:pt idx="10">
                  <c:v>12.97885702323634</c:v>
                </c:pt>
                <c:pt idx="11">
                  <c:v>3.9145907473309607</c:v>
                </c:pt>
                <c:pt idx="12">
                  <c:v>0.16746912288046889</c:v>
                </c:pt>
                <c:pt idx="13">
                  <c:v>6.6987649152187565</c:v>
                </c:pt>
                <c:pt idx="14">
                  <c:v>12.581117856395226</c:v>
                </c:pt>
                <c:pt idx="15">
                  <c:v>18.505338078291814</c:v>
                </c:pt>
                <c:pt idx="16">
                  <c:v>8.185053380782918</c:v>
                </c:pt>
                <c:pt idx="17">
                  <c:v>4.37513083525225</c:v>
                </c:pt>
                <c:pt idx="18">
                  <c:v>2.972576931128323</c:v>
                </c:pt>
                <c:pt idx="19">
                  <c:v>7.3895750471006902</c:v>
                </c:pt>
                <c:pt idx="20">
                  <c:v>7.3686414067406316</c:v>
                </c:pt>
                <c:pt idx="21">
                  <c:v>8.247854301863093</c:v>
                </c:pt>
                <c:pt idx="22">
                  <c:v>5.2962110110948286</c:v>
                </c:pt>
                <c:pt idx="23">
                  <c:v>1.7374921498848648</c:v>
                </c:pt>
                <c:pt idx="24">
                  <c:v>6.845300397739166</c:v>
                </c:pt>
                <c:pt idx="25">
                  <c:v>3.5168515804898468</c:v>
                </c:pt>
                <c:pt idx="26">
                  <c:v>16.349173121205776</c:v>
                </c:pt>
                <c:pt idx="27">
                  <c:v>12.895122461796106</c:v>
                </c:pt>
                <c:pt idx="28">
                  <c:v>12.602051496755285</c:v>
                </c:pt>
                <c:pt idx="29">
                  <c:v>9.3992045216663165</c:v>
                </c:pt>
                <c:pt idx="30">
                  <c:v>20.159095666736444</c:v>
                </c:pt>
                <c:pt idx="31">
                  <c:v>20.159095666736444</c:v>
                </c:pt>
                <c:pt idx="32">
                  <c:v>14.758216453841323</c:v>
                </c:pt>
                <c:pt idx="33">
                  <c:v>3.6843207033703158</c:v>
                </c:pt>
                <c:pt idx="34">
                  <c:v>18.233200753611051</c:v>
                </c:pt>
                <c:pt idx="35">
                  <c:v>19.531086455934688</c:v>
                </c:pt>
                <c:pt idx="36">
                  <c:v>11.639104040192588</c:v>
                </c:pt>
                <c:pt idx="37">
                  <c:v>3.2447142558090851</c:v>
                </c:pt>
                <c:pt idx="38">
                  <c:v>12.518316935315051</c:v>
                </c:pt>
                <c:pt idx="39">
                  <c:v>19.238015490893865</c:v>
                </c:pt>
                <c:pt idx="40">
                  <c:v>0.50240736864140667</c:v>
                </c:pt>
                <c:pt idx="41">
                  <c:v>17.981997069290347</c:v>
                </c:pt>
                <c:pt idx="42">
                  <c:v>19.049612727653336</c:v>
                </c:pt>
                <c:pt idx="43">
                  <c:v>0.6070755704416998</c:v>
                </c:pt>
                <c:pt idx="44">
                  <c:v>2.0724303956458026</c:v>
                </c:pt>
                <c:pt idx="45">
                  <c:v>3.0772451329286161</c:v>
                </c:pt>
                <c:pt idx="46">
                  <c:v>13.250994347917102</c:v>
                </c:pt>
                <c:pt idx="47">
                  <c:v>3.2237806154490265</c:v>
                </c:pt>
                <c:pt idx="48">
                  <c:v>17.165585095248062</c:v>
                </c:pt>
                <c:pt idx="49">
                  <c:v>5.0659409671341846</c:v>
                </c:pt>
                <c:pt idx="50">
                  <c:v>13.020724303956458</c:v>
                </c:pt>
                <c:pt idx="51">
                  <c:v>14.674481892401088</c:v>
                </c:pt>
                <c:pt idx="52">
                  <c:v>1.946828553485451</c:v>
                </c:pt>
                <c:pt idx="53">
                  <c:v>4.7519363617333052</c:v>
                </c:pt>
                <c:pt idx="54">
                  <c:v>18.756541762612517</c:v>
                </c:pt>
                <c:pt idx="55">
                  <c:v>10.131881934268369</c:v>
                </c:pt>
                <c:pt idx="56">
                  <c:v>1.3606866234038097</c:v>
                </c:pt>
                <c:pt idx="57">
                  <c:v>7.9547833368222731</c:v>
                </c:pt>
                <c:pt idx="58">
                  <c:v>2.4492359221268578</c:v>
                </c:pt>
                <c:pt idx="59">
                  <c:v>5.6520828972158252</c:v>
                </c:pt>
                <c:pt idx="60">
                  <c:v>5.1496755285744191</c:v>
                </c:pt>
                <c:pt idx="61">
                  <c:v>2.805107808247854</c:v>
                </c:pt>
                <c:pt idx="62">
                  <c:v>9.5666736445467855</c:v>
                </c:pt>
                <c:pt idx="63">
                  <c:v>14.737282813481263</c:v>
                </c:pt>
                <c:pt idx="64">
                  <c:v>10.738957504710068</c:v>
                </c:pt>
                <c:pt idx="65">
                  <c:v>3.4121833786895537</c:v>
                </c:pt>
                <c:pt idx="66">
                  <c:v>10.697090223989951</c:v>
                </c:pt>
                <c:pt idx="67">
                  <c:v>8.917730793384969</c:v>
                </c:pt>
                <c:pt idx="68">
                  <c:v>0.66987649152187556</c:v>
                </c:pt>
                <c:pt idx="69">
                  <c:v>13.334728909357336</c:v>
                </c:pt>
                <c:pt idx="70">
                  <c:v>10.006280092108017</c:v>
                </c:pt>
                <c:pt idx="71">
                  <c:v>7.85011513502198</c:v>
                </c:pt>
                <c:pt idx="72">
                  <c:v>18.924010885492986</c:v>
                </c:pt>
                <c:pt idx="73">
                  <c:v>2.2189658781662129</c:v>
                </c:pt>
                <c:pt idx="74">
                  <c:v>5.045007326774126</c:v>
                </c:pt>
                <c:pt idx="75">
                  <c:v>7.515176889261042</c:v>
                </c:pt>
                <c:pt idx="76">
                  <c:v>19.803223780615447</c:v>
                </c:pt>
                <c:pt idx="77">
                  <c:v>4.1448607912916051</c:v>
                </c:pt>
                <c:pt idx="78">
                  <c:v>3.140046054008792</c:v>
                </c:pt>
                <c:pt idx="79">
                  <c:v>18.25413439397111</c:v>
                </c:pt>
                <c:pt idx="80">
                  <c:v>16.202637638685367</c:v>
                </c:pt>
                <c:pt idx="81">
                  <c:v>7.0337031609796936</c:v>
                </c:pt>
                <c:pt idx="82">
                  <c:v>13.87900355871886</c:v>
                </c:pt>
                <c:pt idx="83">
                  <c:v>12.936989742516223</c:v>
                </c:pt>
                <c:pt idx="84">
                  <c:v>0.5233410090014653</c:v>
                </c:pt>
                <c:pt idx="85">
                  <c:v>4.6682018002930707</c:v>
                </c:pt>
                <c:pt idx="86">
                  <c:v>1.6537575884446305</c:v>
                </c:pt>
                <c:pt idx="87">
                  <c:v>15.428092945363197</c:v>
                </c:pt>
                <c:pt idx="88">
                  <c:v>2.805107808247854</c:v>
                </c:pt>
                <c:pt idx="89">
                  <c:v>20.514967552857442</c:v>
                </c:pt>
                <c:pt idx="90">
                  <c:v>6.6987649152187565</c:v>
                </c:pt>
                <c:pt idx="91">
                  <c:v>19.17521456981369</c:v>
                </c:pt>
                <c:pt idx="92">
                  <c:v>5.777684739376177</c:v>
                </c:pt>
                <c:pt idx="93">
                  <c:v>2.3864350010466819</c:v>
                </c:pt>
                <c:pt idx="94">
                  <c:v>20.661503035377851</c:v>
                </c:pt>
                <c:pt idx="95">
                  <c:v>14.067406321959387</c:v>
                </c:pt>
                <c:pt idx="96">
                  <c:v>6.7824994766589901</c:v>
                </c:pt>
                <c:pt idx="97">
                  <c:v>1.2978857023236341</c:v>
                </c:pt>
                <c:pt idx="98">
                  <c:v>19.112413648733515</c:v>
                </c:pt>
                <c:pt idx="99">
                  <c:v>13.12539250575675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F-4407-8B8C-1BC670094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704492488"/>
        <c:axId val="704494128"/>
      </c:barChart>
      <c:catAx>
        <c:axId val="704492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4494128"/>
        <c:crosses val="autoZero"/>
        <c:auto val="1"/>
        <c:lblAlgn val="ctr"/>
        <c:lblOffset val="100"/>
        <c:noMultiLvlLbl val="0"/>
      </c:catAx>
      <c:valAx>
        <c:axId val="7044941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4492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1).xlsx]Stock Levels by SKU!PivotTable7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Stock Levels by SKU</a:t>
            </a:r>
            <a:endParaRPr lang="en-US" sz="1600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'Stock Levels by SKU'!$B$3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'Stock Levels by SKU'!$A$4:$A$105</c:f>
              <c:strCache>
                <c:ptCount val="101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  <c:pt idx="100">
                  <c:v>(blank)</c:v>
                </c:pt>
              </c:strCache>
            </c:strRef>
          </c:cat>
          <c:val>
            <c:numRef>
              <c:f>'Stock Levels by SKU'!$B$4:$B$105</c:f>
              <c:numCache>
                <c:formatCode>General</c:formatCode>
                <c:ptCount val="101"/>
                <c:pt idx="0">
                  <c:v>58</c:v>
                </c:pt>
                <c:pt idx="1">
                  <c:v>53</c:v>
                </c:pt>
                <c:pt idx="2">
                  <c:v>51</c:v>
                </c:pt>
                <c:pt idx="3">
                  <c:v>46</c:v>
                </c:pt>
                <c:pt idx="4">
                  <c:v>100</c:v>
                </c:pt>
                <c:pt idx="5">
                  <c:v>80</c:v>
                </c:pt>
                <c:pt idx="6">
                  <c:v>54</c:v>
                </c:pt>
                <c:pt idx="7">
                  <c:v>9</c:v>
                </c:pt>
                <c:pt idx="8">
                  <c:v>2</c:v>
                </c:pt>
                <c:pt idx="9">
                  <c:v>45</c:v>
                </c:pt>
                <c:pt idx="10">
                  <c:v>10</c:v>
                </c:pt>
                <c:pt idx="11">
                  <c:v>48</c:v>
                </c:pt>
                <c:pt idx="12">
                  <c:v>1</c:v>
                </c:pt>
                <c:pt idx="13">
                  <c:v>27</c:v>
                </c:pt>
                <c:pt idx="14">
                  <c:v>69</c:v>
                </c:pt>
                <c:pt idx="15">
                  <c:v>71</c:v>
                </c:pt>
                <c:pt idx="16">
                  <c:v>84</c:v>
                </c:pt>
                <c:pt idx="17">
                  <c:v>4</c:v>
                </c:pt>
                <c:pt idx="18">
                  <c:v>82</c:v>
                </c:pt>
                <c:pt idx="19">
                  <c:v>59</c:v>
                </c:pt>
                <c:pt idx="20">
                  <c:v>47</c:v>
                </c:pt>
                <c:pt idx="21">
                  <c:v>48</c:v>
                </c:pt>
                <c:pt idx="22">
                  <c:v>45</c:v>
                </c:pt>
                <c:pt idx="23">
                  <c:v>23</c:v>
                </c:pt>
                <c:pt idx="24">
                  <c:v>60</c:v>
                </c:pt>
                <c:pt idx="25">
                  <c:v>6</c:v>
                </c:pt>
                <c:pt idx="26">
                  <c:v>89</c:v>
                </c:pt>
                <c:pt idx="27">
                  <c:v>4</c:v>
                </c:pt>
                <c:pt idx="28">
                  <c:v>1</c:v>
                </c:pt>
                <c:pt idx="29">
                  <c:v>42</c:v>
                </c:pt>
                <c:pt idx="30">
                  <c:v>18</c:v>
                </c:pt>
                <c:pt idx="31">
                  <c:v>25</c:v>
                </c:pt>
                <c:pt idx="32">
                  <c:v>69</c:v>
                </c:pt>
                <c:pt idx="33">
                  <c:v>78</c:v>
                </c:pt>
                <c:pt idx="34">
                  <c:v>5</c:v>
                </c:pt>
                <c:pt idx="35">
                  <c:v>90</c:v>
                </c:pt>
                <c:pt idx="36">
                  <c:v>64</c:v>
                </c:pt>
                <c:pt idx="37">
                  <c:v>22</c:v>
                </c:pt>
                <c:pt idx="38">
                  <c:v>36</c:v>
                </c:pt>
                <c:pt idx="39">
                  <c:v>13</c:v>
                </c:pt>
                <c:pt idx="40">
                  <c:v>93</c:v>
                </c:pt>
                <c:pt idx="41">
                  <c:v>92</c:v>
                </c:pt>
                <c:pt idx="42">
                  <c:v>4</c:v>
                </c:pt>
                <c:pt idx="43">
                  <c:v>30</c:v>
                </c:pt>
                <c:pt idx="44">
                  <c:v>97</c:v>
                </c:pt>
                <c:pt idx="45">
                  <c:v>90</c:v>
                </c:pt>
                <c:pt idx="46">
                  <c:v>31</c:v>
                </c:pt>
                <c:pt idx="47">
                  <c:v>100</c:v>
                </c:pt>
                <c:pt idx="48">
                  <c:v>64</c:v>
                </c:pt>
                <c:pt idx="49">
                  <c:v>96</c:v>
                </c:pt>
                <c:pt idx="50">
                  <c:v>33</c:v>
                </c:pt>
                <c:pt idx="51">
                  <c:v>97</c:v>
                </c:pt>
                <c:pt idx="52">
                  <c:v>25</c:v>
                </c:pt>
                <c:pt idx="53">
                  <c:v>5</c:v>
                </c:pt>
                <c:pt idx="54">
                  <c:v>10</c:v>
                </c:pt>
                <c:pt idx="55">
                  <c:v>100</c:v>
                </c:pt>
                <c:pt idx="56">
                  <c:v>11</c:v>
                </c:pt>
                <c:pt idx="57">
                  <c:v>41</c:v>
                </c:pt>
                <c:pt idx="58">
                  <c:v>32</c:v>
                </c:pt>
                <c:pt idx="59">
                  <c:v>86</c:v>
                </c:pt>
                <c:pt idx="60">
                  <c:v>54</c:v>
                </c:pt>
                <c:pt idx="61">
                  <c:v>73</c:v>
                </c:pt>
                <c:pt idx="62">
                  <c:v>57</c:v>
                </c:pt>
                <c:pt idx="63">
                  <c:v>13</c:v>
                </c:pt>
                <c:pt idx="64">
                  <c:v>12</c:v>
                </c:pt>
                <c:pt idx="65">
                  <c:v>0</c:v>
                </c:pt>
                <c:pt idx="66">
                  <c:v>95</c:v>
                </c:pt>
                <c:pt idx="67">
                  <c:v>93</c:v>
                </c:pt>
                <c:pt idx="68">
                  <c:v>10</c:v>
                </c:pt>
                <c:pt idx="69">
                  <c:v>76</c:v>
                </c:pt>
                <c:pt idx="70">
                  <c:v>57</c:v>
                </c:pt>
                <c:pt idx="71">
                  <c:v>17</c:v>
                </c:pt>
                <c:pt idx="72">
                  <c:v>41</c:v>
                </c:pt>
                <c:pt idx="73">
                  <c:v>16</c:v>
                </c:pt>
                <c:pt idx="74">
                  <c:v>38</c:v>
                </c:pt>
                <c:pt idx="75">
                  <c:v>96</c:v>
                </c:pt>
                <c:pt idx="76">
                  <c:v>5</c:v>
                </c:pt>
                <c:pt idx="77">
                  <c:v>31</c:v>
                </c:pt>
                <c:pt idx="78">
                  <c:v>5</c:v>
                </c:pt>
                <c:pt idx="79">
                  <c:v>39</c:v>
                </c:pt>
                <c:pt idx="80">
                  <c:v>48</c:v>
                </c:pt>
                <c:pt idx="81">
                  <c:v>42</c:v>
                </c:pt>
                <c:pt idx="82">
                  <c:v>65</c:v>
                </c:pt>
                <c:pt idx="83">
                  <c:v>73</c:v>
                </c:pt>
                <c:pt idx="84">
                  <c:v>15</c:v>
                </c:pt>
                <c:pt idx="85">
                  <c:v>32</c:v>
                </c:pt>
                <c:pt idx="86">
                  <c:v>5</c:v>
                </c:pt>
                <c:pt idx="87">
                  <c:v>60</c:v>
                </c:pt>
                <c:pt idx="88">
                  <c:v>90</c:v>
                </c:pt>
                <c:pt idx="89">
                  <c:v>14</c:v>
                </c:pt>
                <c:pt idx="90">
                  <c:v>66</c:v>
                </c:pt>
                <c:pt idx="91">
                  <c:v>98</c:v>
                </c:pt>
                <c:pt idx="92">
                  <c:v>90</c:v>
                </c:pt>
                <c:pt idx="93">
                  <c:v>63</c:v>
                </c:pt>
                <c:pt idx="94">
                  <c:v>77</c:v>
                </c:pt>
                <c:pt idx="95">
                  <c:v>15</c:v>
                </c:pt>
                <c:pt idx="96">
                  <c:v>67</c:v>
                </c:pt>
                <c:pt idx="97">
                  <c:v>46</c:v>
                </c:pt>
                <c:pt idx="98">
                  <c:v>53</c:v>
                </c:pt>
                <c:pt idx="99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6B-4C49-958E-42A89133A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910092968"/>
        <c:axId val="1143888512"/>
      </c:barChart>
      <c:catAx>
        <c:axId val="91009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143888512"/>
        <c:crosses val="autoZero"/>
        <c:auto val="1"/>
        <c:lblAlgn val="ctr"/>
        <c:lblOffset val="100"/>
        <c:noMultiLvlLbl val="0"/>
      </c:catAx>
      <c:valAx>
        <c:axId val="1143888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0092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1).xlsx]Average Lead Time by Supplier!PivotTable9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Average Lead Time by Supplier</a:t>
            </a:r>
            <a:endParaRPr lang="en-US" sz="1600"/>
          </a:p>
        </c:rich>
      </c:tx>
      <c:layout>
        <c:manualLayout>
          <c:xMode val="edge"/>
          <c:yMode val="edge"/>
          <c:x val="0.13322176132692801"/>
          <c:y val="2.6984130356721703E-2"/>
        </c:manualLayout>
      </c:layout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Lead Time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'Average Lead Time by Supplier'!$A$4:$A$9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'Average Lead Time by Supplier'!$B$4:$B$9</c:f>
              <c:numCache>
                <c:formatCode>General</c:formatCode>
                <c:ptCount val="5"/>
                <c:pt idx="0">
                  <c:v>14.777777777777779</c:v>
                </c:pt>
                <c:pt idx="1">
                  <c:v>18.545454545454547</c:v>
                </c:pt>
                <c:pt idx="2">
                  <c:v>20.133333333333333</c:v>
                </c:pt>
                <c:pt idx="3">
                  <c:v>15.222222222222221</c:v>
                </c:pt>
                <c:pt idx="4">
                  <c:v>18.055555555555557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A-418E-9FA0-ED11D987682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05243304"/>
        <c:axId val="905237072"/>
      </c:barChart>
      <c:catAx>
        <c:axId val="905243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05237072"/>
        <c:crosses val="autoZero"/>
        <c:auto val="1"/>
        <c:lblAlgn val="ctr"/>
        <c:lblOffset val="100"/>
        <c:noMultiLvlLbl val="0"/>
      </c:catAx>
      <c:valAx>
        <c:axId val="90523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905243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1).xlsx]Production Volume by Supplier!PivotTable10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/>
              <a:t>Production Volume by Supplier</a:t>
            </a:r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69696">
              <a:alpha val="85000"/>
            </a:srgbClr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'Production Volume by Supplier'!$B$3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69696">
                <a:alpha val="85000"/>
              </a:srgbClr>
            </a:solidFill>
            <a:ln w="9525" cap="flat" cmpd="sng" algn="ctr">
              <a:noFill/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'Production Volume by Supplier'!$A$4:$A$9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'Production Volume by Supplier'!$B$4:$B$9</c:f>
              <c:numCache>
                <c:formatCode>General</c:formatCode>
                <c:ptCount val="5"/>
                <c:pt idx="0">
                  <c:v>13545</c:v>
                </c:pt>
                <c:pt idx="1">
                  <c:v>14105</c:v>
                </c:pt>
                <c:pt idx="2">
                  <c:v>7997</c:v>
                </c:pt>
                <c:pt idx="3">
                  <c:v>11756</c:v>
                </c:pt>
                <c:pt idx="4">
                  <c:v>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1-4BC5-8139-EB2B41D5AC3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06789552"/>
        <c:axId val="706787912"/>
      </c:barChart>
      <c:catAx>
        <c:axId val="706789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6787912"/>
        <c:crosses val="autoZero"/>
        <c:auto val="1"/>
        <c:lblAlgn val="ctr"/>
        <c:lblOffset val="100"/>
        <c:noMultiLvlLbl val="0"/>
      </c:catAx>
      <c:valAx>
        <c:axId val="70678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70678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1).xlsx]Supplier Costs and Lead Time Ov!PivotTable11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Supplier Costs and Lead Time Overview</a:t>
            </a:r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'Supplier Costs and Lead Time Ov'!$B$3</c:f>
              <c:strCache>
                <c:ptCount val="1"/>
                <c:pt idx="0">
                  <c:v>Sum of Shipping costs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'Supplier Costs and Lead Time Ov'!$A$4:$A$9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'Supplier Costs and Lead Time Ov'!$B$4:$B$9</c:f>
              <c:numCache>
                <c:formatCode>General</c:formatCode>
                <c:ptCount val="5"/>
                <c:pt idx="0">
                  <c:v>148.83000000000001</c:v>
                </c:pt>
                <c:pt idx="1">
                  <c:v>126.25999999999999</c:v>
                </c:pt>
                <c:pt idx="2">
                  <c:v>71.839999999999989</c:v>
                </c:pt>
                <c:pt idx="3">
                  <c:v>103.66000000000001</c:v>
                </c:pt>
                <c:pt idx="4">
                  <c:v>104.22999999999999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3-4F63-83A6-C659FACBFCB6}"/>
            </c:ext>
          </c:extLst>
        </c:ser>
        <c:ser>
          <c:idx val="1"/>
          <c:order val="1"/>
          <c:tx>
            <c:strRef>
              <c:f>'Supplier Costs and Lead Time Ov'!$C$3</c:f>
              <c:strCache>
                <c:ptCount val="1"/>
                <c:pt idx="0">
                  <c:v>Sum of Manufacturing costs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'Supplier Costs and Lead Time Ov'!$A$4:$A$9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'Supplier Costs and Lead Time Ov'!$C$4:$C$9</c:f>
              <c:numCache>
                <c:formatCode>General</c:formatCode>
                <c:ptCount val="5"/>
                <c:pt idx="0">
                  <c:v>1221.8499999999999</c:v>
                </c:pt>
                <c:pt idx="1">
                  <c:v>915.68</c:v>
                </c:pt>
                <c:pt idx="2">
                  <c:v>654.52</c:v>
                </c:pt>
                <c:pt idx="3">
                  <c:v>1128.7600000000002</c:v>
                </c:pt>
                <c:pt idx="4">
                  <c:v>805.83000000000027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D3-4F63-83A6-C659FACBFCB6}"/>
            </c:ext>
          </c:extLst>
        </c:ser>
        <c:ser>
          <c:idx val="2"/>
          <c:order val="2"/>
          <c:tx>
            <c:strRef>
              <c:f>'Supplier Costs and Lead Time Ov'!$D$3</c:f>
              <c:strCache>
                <c:ptCount val="1"/>
                <c:pt idx="0">
                  <c:v>Sum of Lead times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'Supplier Costs and Lead Time Ov'!$A$4:$A$9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'Supplier Costs and Lead Time Ov'!$D$4:$D$9</c:f>
              <c:numCache>
                <c:formatCode>General</c:formatCode>
                <c:ptCount val="5"/>
                <c:pt idx="0">
                  <c:v>453</c:v>
                </c:pt>
                <c:pt idx="1">
                  <c:v>357</c:v>
                </c:pt>
                <c:pt idx="2">
                  <c:v>215</c:v>
                </c:pt>
                <c:pt idx="3">
                  <c:v>306</c:v>
                </c:pt>
                <c:pt idx="4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9D3-4F63-83A6-C659FACBF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40008704"/>
        <c:axId val="540007064"/>
      </c:barChart>
      <c:catAx>
        <c:axId val="5400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07064"/>
        <c:crosses val="autoZero"/>
        <c:auto val="1"/>
        <c:lblAlgn val="ctr"/>
        <c:lblOffset val="100"/>
        <c:noMultiLvlLbl val="0"/>
      </c:catAx>
      <c:valAx>
        <c:axId val="540007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40008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dk1"/>
          </a:solidFill>
        </a:defRPr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1).xlsx]Shipping Costs per Transportati!PivotTable3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Shipping Costs per Transportation Mode</a:t>
            </a:r>
            <a:endParaRPr lang="en-US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'Shipping Costs per Transportati'!$B$3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'Shipping Costs per Transportati'!$A$4:$A$8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'Shipping Costs per Transportati'!$B$4:$B$8</c:f>
              <c:numCache>
                <c:formatCode>General</c:formatCode>
                <c:ptCount val="4"/>
                <c:pt idx="0">
                  <c:v>6.0176923076923066</c:v>
                </c:pt>
                <c:pt idx="1">
                  <c:v>5.4692857142857125</c:v>
                </c:pt>
                <c:pt idx="2">
                  <c:v>5.5424137931034476</c:v>
                </c:pt>
                <c:pt idx="3">
                  <c:v>4.9699999999999989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E-46E1-B7D7-F93124CA4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6583256"/>
        <c:axId val="546576696"/>
      </c:barChart>
      <c:catAx>
        <c:axId val="546583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76696"/>
        <c:crosses val="autoZero"/>
        <c:auto val="1"/>
        <c:lblAlgn val="ctr"/>
        <c:lblOffset val="100"/>
        <c:noMultiLvlLbl val="0"/>
      </c:catAx>
      <c:valAx>
        <c:axId val="54657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83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1).xlsx]Impact of Route on Shipping Tim!PivotTable4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Impact of Route on Shipping Times</a:t>
            </a:r>
            <a:endParaRPr lang="en-US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'Impact of Route on Shipping Tim'!$B$3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'Impact of Route on Shipping Tim'!$A$4:$A$7</c:f>
              <c:strCache>
                <c:ptCount val="3"/>
                <c:pt idx="0">
                  <c:v>Route A</c:v>
                </c:pt>
                <c:pt idx="1">
                  <c:v>Route B</c:v>
                </c:pt>
                <c:pt idx="2">
                  <c:v>Route C</c:v>
                </c:pt>
              </c:strCache>
            </c:strRef>
          </c:cat>
          <c:val>
            <c:numRef>
              <c:f>'Impact of Route on Shipping Tim'!$B$4:$B$7</c:f>
              <c:numCache>
                <c:formatCode>General</c:formatCode>
                <c:ptCount val="3"/>
                <c:pt idx="0">
                  <c:v>259</c:v>
                </c:pt>
                <c:pt idx="1">
                  <c:v>211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29-4489-BB97-DE934C69A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579320"/>
        <c:axId val="546579648"/>
      </c:barChart>
      <c:catAx>
        <c:axId val="546579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79648"/>
        <c:crosses val="autoZero"/>
        <c:auto val="1"/>
        <c:lblAlgn val="ctr"/>
        <c:lblOffset val="100"/>
        <c:noMultiLvlLbl val="0"/>
      </c:catAx>
      <c:valAx>
        <c:axId val="546579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79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Shipping Costs and Times by Carrier</a:t>
            </a:r>
            <a:endParaRPr lang="en-GB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supply_chain!$L$1</c:f>
              <c:strCache>
                <c:ptCount val="1"/>
                <c:pt idx="0">
                  <c:v>Shipping carriers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supply_chain!$K$2:$K$101</c:f>
              <c:numCache>
                <c:formatCode>General</c:formatCode>
                <c:ptCount val="100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  <c:pt idx="8">
                  <c:v>7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7</c:v>
                </c:pt>
                <c:pt idx="16">
                  <c:v>1</c:v>
                </c:pt>
                <c:pt idx="17">
                  <c:v>9</c:v>
                </c:pt>
                <c:pt idx="18">
                  <c:v>8</c:v>
                </c:pt>
                <c:pt idx="19">
                  <c:v>3</c:v>
                </c:pt>
                <c:pt idx="20">
                  <c:v>6</c:v>
                </c:pt>
                <c:pt idx="21">
                  <c:v>6</c:v>
                </c:pt>
                <c:pt idx="22">
                  <c:v>10</c:v>
                </c:pt>
                <c:pt idx="23">
                  <c:v>7</c:v>
                </c:pt>
                <c:pt idx="24">
                  <c:v>8</c:v>
                </c:pt>
                <c:pt idx="25">
                  <c:v>3</c:v>
                </c:pt>
                <c:pt idx="26">
                  <c:v>4</c:v>
                </c:pt>
                <c:pt idx="27">
                  <c:v>8</c:v>
                </c:pt>
                <c:pt idx="28">
                  <c:v>4</c:v>
                </c:pt>
                <c:pt idx="29">
                  <c:v>7</c:v>
                </c:pt>
                <c:pt idx="30">
                  <c:v>7</c:v>
                </c:pt>
                <c:pt idx="31">
                  <c:v>4</c:v>
                </c:pt>
                <c:pt idx="32">
                  <c:v>4</c:v>
                </c:pt>
                <c:pt idx="33">
                  <c:v>9</c:v>
                </c:pt>
                <c:pt idx="34">
                  <c:v>7</c:v>
                </c:pt>
                <c:pt idx="35">
                  <c:v>8</c:v>
                </c:pt>
                <c:pt idx="36">
                  <c:v>3</c:v>
                </c:pt>
                <c:pt idx="37">
                  <c:v>9</c:v>
                </c:pt>
                <c:pt idx="38">
                  <c:v>5</c:v>
                </c:pt>
                <c:pt idx="39">
                  <c:v>3</c:v>
                </c:pt>
                <c:pt idx="40">
                  <c:v>8</c:v>
                </c:pt>
                <c:pt idx="41">
                  <c:v>8</c:v>
                </c:pt>
                <c:pt idx="42">
                  <c:v>4</c:v>
                </c:pt>
                <c:pt idx="43">
                  <c:v>9</c:v>
                </c:pt>
                <c:pt idx="44">
                  <c:v>6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3</c:v>
                </c:pt>
                <c:pt idx="49">
                  <c:v>6</c:v>
                </c:pt>
                <c:pt idx="50">
                  <c:v>10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3</c:v>
                </c:pt>
                <c:pt idx="55">
                  <c:v>5</c:v>
                </c:pt>
                <c:pt idx="56">
                  <c:v>5</c:v>
                </c:pt>
                <c:pt idx="57">
                  <c:v>1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7</c:v>
                </c:pt>
                <c:pt idx="62">
                  <c:v>7</c:v>
                </c:pt>
                <c:pt idx="63">
                  <c:v>4</c:v>
                </c:pt>
                <c:pt idx="64">
                  <c:v>6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8</c:v>
                </c:pt>
                <c:pt idx="69">
                  <c:v>3</c:v>
                </c:pt>
                <c:pt idx="70">
                  <c:v>4</c:v>
                </c:pt>
                <c:pt idx="71">
                  <c:v>6</c:v>
                </c:pt>
                <c:pt idx="72">
                  <c:v>9</c:v>
                </c:pt>
                <c:pt idx="73">
                  <c:v>5</c:v>
                </c:pt>
                <c:pt idx="74">
                  <c:v>5</c:v>
                </c:pt>
                <c:pt idx="75">
                  <c:v>10</c:v>
                </c:pt>
                <c:pt idx="76">
                  <c:v>10</c:v>
                </c:pt>
                <c:pt idx="77">
                  <c:v>4</c:v>
                </c:pt>
                <c:pt idx="78">
                  <c:v>5</c:v>
                </c:pt>
                <c:pt idx="79">
                  <c:v>1</c:v>
                </c:pt>
                <c:pt idx="80">
                  <c:v>2</c:v>
                </c:pt>
                <c:pt idx="81">
                  <c:v>5</c:v>
                </c:pt>
                <c:pt idx="82">
                  <c:v>1</c:v>
                </c:pt>
                <c:pt idx="83">
                  <c:v>8</c:v>
                </c:pt>
                <c:pt idx="84">
                  <c:v>10</c:v>
                </c:pt>
                <c:pt idx="85">
                  <c:v>2</c:v>
                </c:pt>
                <c:pt idx="86">
                  <c:v>6</c:v>
                </c:pt>
                <c:pt idx="87">
                  <c:v>10</c:v>
                </c:pt>
                <c:pt idx="88">
                  <c:v>7</c:v>
                </c:pt>
                <c:pt idx="89">
                  <c:v>8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1</c:v>
                </c:pt>
                <c:pt idx="94">
                  <c:v>9</c:v>
                </c:pt>
                <c:pt idx="95">
                  <c:v>9</c:v>
                </c:pt>
                <c:pt idx="96">
                  <c:v>3</c:v>
                </c:pt>
                <c:pt idx="97">
                  <c:v>9</c:v>
                </c:pt>
                <c:pt idx="98">
                  <c:v>7</c:v>
                </c:pt>
                <c:pt idx="99">
                  <c:v>6</c:v>
                </c:pt>
              </c:numCache>
            </c:numRef>
          </c:xVal>
          <c:yVal>
            <c:numRef>
              <c:f>supply_chain!$L$2:$L$101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07-49E2-8E45-28D834FBA2BE}"/>
            </c:ext>
          </c:extLst>
        </c:ser>
        <c:ser>
          <c:idx val="1"/>
          <c:order val="1"/>
          <c:tx>
            <c:strRef>
              <c:f>supply_chain!$M$1</c:f>
              <c:strCache>
                <c:ptCount val="1"/>
                <c:pt idx="0">
                  <c:v>Shipping costs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supply_chain!$K$2:$K$101</c:f>
              <c:numCache>
                <c:formatCode>General</c:formatCode>
                <c:ptCount val="100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8</c:v>
                </c:pt>
                <c:pt idx="5">
                  <c:v>3</c:v>
                </c:pt>
                <c:pt idx="6">
                  <c:v>8</c:v>
                </c:pt>
                <c:pt idx="7">
                  <c:v>1</c:v>
                </c:pt>
                <c:pt idx="8">
                  <c:v>7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4</c:v>
                </c:pt>
                <c:pt idx="13">
                  <c:v>9</c:v>
                </c:pt>
                <c:pt idx="14">
                  <c:v>5</c:v>
                </c:pt>
                <c:pt idx="15">
                  <c:v>7</c:v>
                </c:pt>
                <c:pt idx="16">
                  <c:v>1</c:v>
                </c:pt>
                <c:pt idx="17">
                  <c:v>9</c:v>
                </c:pt>
                <c:pt idx="18">
                  <c:v>8</c:v>
                </c:pt>
                <c:pt idx="19">
                  <c:v>3</c:v>
                </c:pt>
                <c:pt idx="20">
                  <c:v>6</c:v>
                </c:pt>
                <c:pt idx="21">
                  <c:v>6</c:v>
                </c:pt>
                <c:pt idx="22">
                  <c:v>10</c:v>
                </c:pt>
                <c:pt idx="23">
                  <c:v>7</c:v>
                </c:pt>
                <c:pt idx="24">
                  <c:v>8</c:v>
                </c:pt>
                <c:pt idx="25">
                  <c:v>3</c:v>
                </c:pt>
                <c:pt idx="26">
                  <c:v>4</c:v>
                </c:pt>
                <c:pt idx="27">
                  <c:v>8</c:v>
                </c:pt>
                <c:pt idx="28">
                  <c:v>4</c:v>
                </c:pt>
                <c:pt idx="29">
                  <c:v>7</c:v>
                </c:pt>
                <c:pt idx="30">
                  <c:v>7</c:v>
                </c:pt>
                <c:pt idx="31">
                  <c:v>4</c:v>
                </c:pt>
                <c:pt idx="32">
                  <c:v>4</c:v>
                </c:pt>
                <c:pt idx="33">
                  <c:v>9</c:v>
                </c:pt>
                <c:pt idx="34">
                  <c:v>7</c:v>
                </c:pt>
                <c:pt idx="35">
                  <c:v>8</c:v>
                </c:pt>
                <c:pt idx="36">
                  <c:v>3</c:v>
                </c:pt>
                <c:pt idx="37">
                  <c:v>9</c:v>
                </c:pt>
                <c:pt idx="38">
                  <c:v>5</c:v>
                </c:pt>
                <c:pt idx="39">
                  <c:v>3</c:v>
                </c:pt>
                <c:pt idx="40">
                  <c:v>8</c:v>
                </c:pt>
                <c:pt idx="41">
                  <c:v>8</c:v>
                </c:pt>
                <c:pt idx="42">
                  <c:v>4</c:v>
                </c:pt>
                <c:pt idx="43">
                  <c:v>9</c:v>
                </c:pt>
                <c:pt idx="44">
                  <c:v>6</c:v>
                </c:pt>
                <c:pt idx="45">
                  <c:v>6</c:v>
                </c:pt>
                <c:pt idx="46">
                  <c:v>8</c:v>
                </c:pt>
                <c:pt idx="47">
                  <c:v>9</c:v>
                </c:pt>
                <c:pt idx="48">
                  <c:v>3</c:v>
                </c:pt>
                <c:pt idx="49">
                  <c:v>6</c:v>
                </c:pt>
                <c:pt idx="50">
                  <c:v>10</c:v>
                </c:pt>
                <c:pt idx="51">
                  <c:v>1</c:v>
                </c:pt>
                <c:pt idx="52">
                  <c:v>1</c:v>
                </c:pt>
                <c:pt idx="53">
                  <c:v>3</c:v>
                </c:pt>
                <c:pt idx="54">
                  <c:v>3</c:v>
                </c:pt>
                <c:pt idx="55">
                  <c:v>5</c:v>
                </c:pt>
                <c:pt idx="56">
                  <c:v>5</c:v>
                </c:pt>
                <c:pt idx="57">
                  <c:v>1</c:v>
                </c:pt>
                <c:pt idx="58">
                  <c:v>7</c:v>
                </c:pt>
                <c:pt idx="59">
                  <c:v>7</c:v>
                </c:pt>
                <c:pt idx="60">
                  <c:v>8</c:v>
                </c:pt>
                <c:pt idx="61">
                  <c:v>7</c:v>
                </c:pt>
                <c:pt idx="62">
                  <c:v>7</c:v>
                </c:pt>
                <c:pt idx="63">
                  <c:v>4</c:v>
                </c:pt>
                <c:pt idx="64">
                  <c:v>6</c:v>
                </c:pt>
                <c:pt idx="65">
                  <c:v>8</c:v>
                </c:pt>
                <c:pt idx="66">
                  <c:v>8</c:v>
                </c:pt>
                <c:pt idx="67">
                  <c:v>9</c:v>
                </c:pt>
                <c:pt idx="68">
                  <c:v>8</c:v>
                </c:pt>
                <c:pt idx="69">
                  <c:v>3</c:v>
                </c:pt>
                <c:pt idx="70">
                  <c:v>4</c:v>
                </c:pt>
                <c:pt idx="71">
                  <c:v>6</c:v>
                </c:pt>
                <c:pt idx="72">
                  <c:v>9</c:v>
                </c:pt>
                <c:pt idx="73">
                  <c:v>5</c:v>
                </c:pt>
                <c:pt idx="74">
                  <c:v>5</c:v>
                </c:pt>
                <c:pt idx="75">
                  <c:v>10</c:v>
                </c:pt>
                <c:pt idx="76">
                  <c:v>10</c:v>
                </c:pt>
                <c:pt idx="77">
                  <c:v>4</c:v>
                </c:pt>
                <c:pt idx="78">
                  <c:v>5</c:v>
                </c:pt>
                <c:pt idx="79">
                  <c:v>1</c:v>
                </c:pt>
                <c:pt idx="80">
                  <c:v>2</c:v>
                </c:pt>
                <c:pt idx="81">
                  <c:v>5</c:v>
                </c:pt>
                <c:pt idx="82">
                  <c:v>1</c:v>
                </c:pt>
                <c:pt idx="83">
                  <c:v>8</c:v>
                </c:pt>
                <c:pt idx="84">
                  <c:v>10</c:v>
                </c:pt>
                <c:pt idx="85">
                  <c:v>2</c:v>
                </c:pt>
                <c:pt idx="86">
                  <c:v>6</c:v>
                </c:pt>
                <c:pt idx="87">
                  <c:v>10</c:v>
                </c:pt>
                <c:pt idx="88">
                  <c:v>7</c:v>
                </c:pt>
                <c:pt idx="89">
                  <c:v>8</c:v>
                </c:pt>
                <c:pt idx="90">
                  <c:v>7</c:v>
                </c:pt>
                <c:pt idx="91">
                  <c:v>7</c:v>
                </c:pt>
                <c:pt idx="92">
                  <c:v>8</c:v>
                </c:pt>
                <c:pt idx="93">
                  <c:v>1</c:v>
                </c:pt>
                <c:pt idx="94">
                  <c:v>9</c:v>
                </c:pt>
                <c:pt idx="95">
                  <c:v>9</c:v>
                </c:pt>
                <c:pt idx="96">
                  <c:v>3</c:v>
                </c:pt>
                <c:pt idx="97">
                  <c:v>9</c:v>
                </c:pt>
                <c:pt idx="98">
                  <c:v>7</c:v>
                </c:pt>
                <c:pt idx="99">
                  <c:v>6</c:v>
                </c:pt>
              </c:numCache>
            </c:numRef>
          </c:xVal>
          <c:yVal>
            <c:numRef>
              <c:f>supply_chain!$M$2:$M$101</c:f>
              <c:numCache>
                <c:formatCode>General</c:formatCode>
                <c:ptCount val="100"/>
                <c:pt idx="0">
                  <c:v>2.96</c:v>
                </c:pt>
                <c:pt idx="1">
                  <c:v>9.7200000000000006</c:v>
                </c:pt>
                <c:pt idx="2">
                  <c:v>8.0500000000000007</c:v>
                </c:pt>
                <c:pt idx="3">
                  <c:v>1.73</c:v>
                </c:pt>
                <c:pt idx="4">
                  <c:v>3.89</c:v>
                </c:pt>
                <c:pt idx="5">
                  <c:v>4.4400000000000004</c:v>
                </c:pt>
                <c:pt idx="6">
                  <c:v>3.88</c:v>
                </c:pt>
                <c:pt idx="7">
                  <c:v>2.35</c:v>
                </c:pt>
                <c:pt idx="8">
                  <c:v>3.4</c:v>
                </c:pt>
                <c:pt idx="9">
                  <c:v>7.17</c:v>
                </c:pt>
                <c:pt idx="10">
                  <c:v>8.67</c:v>
                </c:pt>
                <c:pt idx="11">
                  <c:v>4.5199999999999996</c:v>
                </c:pt>
                <c:pt idx="12">
                  <c:v>1.33</c:v>
                </c:pt>
                <c:pt idx="13">
                  <c:v>9.5399999999999991</c:v>
                </c:pt>
                <c:pt idx="14">
                  <c:v>2.04</c:v>
                </c:pt>
                <c:pt idx="15">
                  <c:v>2.42</c:v>
                </c:pt>
                <c:pt idx="16">
                  <c:v>4.1900000000000004</c:v>
                </c:pt>
                <c:pt idx="17">
                  <c:v>3.59</c:v>
                </c:pt>
                <c:pt idx="18">
                  <c:v>4.34</c:v>
                </c:pt>
                <c:pt idx="19">
                  <c:v>4.74</c:v>
                </c:pt>
                <c:pt idx="20">
                  <c:v>8.8800000000000008</c:v>
                </c:pt>
                <c:pt idx="21">
                  <c:v>6.04</c:v>
                </c:pt>
                <c:pt idx="22">
                  <c:v>9.57</c:v>
                </c:pt>
                <c:pt idx="23">
                  <c:v>2.92</c:v>
                </c:pt>
                <c:pt idx="24">
                  <c:v>9.74</c:v>
                </c:pt>
                <c:pt idx="25">
                  <c:v>2.23</c:v>
                </c:pt>
                <c:pt idx="26">
                  <c:v>6.51</c:v>
                </c:pt>
                <c:pt idx="27">
                  <c:v>7.41</c:v>
                </c:pt>
                <c:pt idx="28">
                  <c:v>9.9</c:v>
                </c:pt>
                <c:pt idx="29">
                  <c:v>8.1</c:v>
                </c:pt>
                <c:pt idx="30">
                  <c:v>8.9499999999999993</c:v>
                </c:pt>
                <c:pt idx="31">
                  <c:v>2.68</c:v>
                </c:pt>
                <c:pt idx="32">
                  <c:v>6.6</c:v>
                </c:pt>
                <c:pt idx="33">
                  <c:v>4.8600000000000003</c:v>
                </c:pt>
                <c:pt idx="34">
                  <c:v>1.02</c:v>
                </c:pt>
                <c:pt idx="35">
                  <c:v>5.29</c:v>
                </c:pt>
                <c:pt idx="36">
                  <c:v>2.11</c:v>
                </c:pt>
                <c:pt idx="37">
                  <c:v>1.53</c:v>
                </c:pt>
                <c:pt idx="38">
                  <c:v>9.24</c:v>
                </c:pt>
                <c:pt idx="39">
                  <c:v>5.56</c:v>
                </c:pt>
                <c:pt idx="40">
                  <c:v>7.23</c:v>
                </c:pt>
                <c:pt idx="41">
                  <c:v>5.77</c:v>
                </c:pt>
                <c:pt idx="42">
                  <c:v>7.53</c:v>
                </c:pt>
                <c:pt idx="43">
                  <c:v>3.69</c:v>
                </c:pt>
                <c:pt idx="44">
                  <c:v>7.58</c:v>
                </c:pt>
                <c:pt idx="45">
                  <c:v>5.22</c:v>
                </c:pt>
                <c:pt idx="46">
                  <c:v>4.07</c:v>
                </c:pt>
                <c:pt idx="47">
                  <c:v>8.98</c:v>
                </c:pt>
                <c:pt idx="48">
                  <c:v>7.1</c:v>
                </c:pt>
                <c:pt idx="49">
                  <c:v>2.5099999999999998</c:v>
                </c:pt>
                <c:pt idx="50">
                  <c:v>6.25</c:v>
                </c:pt>
                <c:pt idx="51">
                  <c:v>4.78</c:v>
                </c:pt>
                <c:pt idx="52">
                  <c:v>8.6300000000000008</c:v>
                </c:pt>
                <c:pt idx="53">
                  <c:v>1.01</c:v>
                </c:pt>
                <c:pt idx="54">
                  <c:v>4.3099999999999996</c:v>
                </c:pt>
                <c:pt idx="55">
                  <c:v>5.01</c:v>
                </c:pt>
                <c:pt idx="56">
                  <c:v>1.77</c:v>
                </c:pt>
                <c:pt idx="57">
                  <c:v>9.16</c:v>
                </c:pt>
                <c:pt idx="58">
                  <c:v>4.9400000000000004</c:v>
                </c:pt>
                <c:pt idx="59">
                  <c:v>7.29</c:v>
                </c:pt>
                <c:pt idx="60">
                  <c:v>4.38</c:v>
                </c:pt>
                <c:pt idx="61">
                  <c:v>9.0299999999999994</c:v>
                </c:pt>
                <c:pt idx="62">
                  <c:v>7.29</c:v>
                </c:pt>
                <c:pt idx="63">
                  <c:v>2.46</c:v>
                </c:pt>
                <c:pt idx="64">
                  <c:v>4.59</c:v>
                </c:pt>
                <c:pt idx="65">
                  <c:v>6.58</c:v>
                </c:pt>
                <c:pt idx="66">
                  <c:v>2.2200000000000002</c:v>
                </c:pt>
                <c:pt idx="67">
                  <c:v>9.15</c:v>
                </c:pt>
                <c:pt idx="68">
                  <c:v>1.19</c:v>
                </c:pt>
                <c:pt idx="69">
                  <c:v>9.7100000000000009</c:v>
                </c:pt>
                <c:pt idx="70">
                  <c:v>6.32</c:v>
                </c:pt>
                <c:pt idx="71">
                  <c:v>9.23</c:v>
                </c:pt>
                <c:pt idx="72">
                  <c:v>6.6</c:v>
                </c:pt>
                <c:pt idx="73">
                  <c:v>1.51</c:v>
                </c:pt>
                <c:pt idx="74">
                  <c:v>5.24</c:v>
                </c:pt>
                <c:pt idx="75">
                  <c:v>2.4700000000000002</c:v>
                </c:pt>
                <c:pt idx="76">
                  <c:v>7.05</c:v>
                </c:pt>
                <c:pt idx="77">
                  <c:v>6.78</c:v>
                </c:pt>
                <c:pt idx="78">
                  <c:v>8.4700000000000006</c:v>
                </c:pt>
                <c:pt idx="79">
                  <c:v>6.5</c:v>
                </c:pt>
                <c:pt idx="80">
                  <c:v>2.83</c:v>
                </c:pt>
                <c:pt idx="81">
                  <c:v>4.07</c:v>
                </c:pt>
                <c:pt idx="82">
                  <c:v>4.71</c:v>
                </c:pt>
                <c:pt idx="83">
                  <c:v>4.95</c:v>
                </c:pt>
                <c:pt idx="84">
                  <c:v>8.3800000000000008</c:v>
                </c:pt>
                <c:pt idx="85">
                  <c:v>8.25</c:v>
                </c:pt>
                <c:pt idx="86">
                  <c:v>1.45</c:v>
                </c:pt>
                <c:pt idx="87">
                  <c:v>6.58</c:v>
                </c:pt>
                <c:pt idx="88">
                  <c:v>3.8</c:v>
                </c:pt>
                <c:pt idx="89">
                  <c:v>9.93</c:v>
                </c:pt>
                <c:pt idx="90">
                  <c:v>7.67</c:v>
                </c:pt>
                <c:pt idx="91">
                  <c:v>7.47</c:v>
                </c:pt>
                <c:pt idx="92">
                  <c:v>4.47</c:v>
                </c:pt>
                <c:pt idx="93">
                  <c:v>7.01</c:v>
                </c:pt>
                <c:pt idx="94">
                  <c:v>6.94</c:v>
                </c:pt>
                <c:pt idx="95">
                  <c:v>8.6300000000000008</c:v>
                </c:pt>
                <c:pt idx="96">
                  <c:v>5.35</c:v>
                </c:pt>
                <c:pt idx="97">
                  <c:v>7.9</c:v>
                </c:pt>
                <c:pt idx="98">
                  <c:v>1.41</c:v>
                </c:pt>
                <c:pt idx="99">
                  <c:v>1.31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07-49E2-8E45-28D834FBA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589728"/>
        <c:axId val="1061591368"/>
      </c:scatterChart>
      <c:valAx>
        <c:axId val="106158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61591368"/>
        <c:crosses val="autoZero"/>
        <c:crossBetween val="midCat"/>
      </c:valAx>
      <c:valAx>
        <c:axId val="1061591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061589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Shipping and Lead Time Analysis Across Locations</a:t>
            </a:r>
            <a:endParaRPr lang="en-GB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supply_chain!$O$6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3-46B1-9B66-AC56629C21A2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supply_chain!$I$1:$I$101</c:f>
              <c:numCache>
                <c:formatCode>General</c:formatCode>
                <c:ptCount val="101"/>
                <c:pt idx="0">
                  <c:v>0</c:v>
                </c:pt>
                <c:pt idx="1">
                  <c:v>7</c:v>
                </c:pt>
                <c:pt idx="2">
                  <c:v>30</c:v>
                </c:pt>
                <c:pt idx="3">
                  <c:v>10</c:v>
                </c:pt>
                <c:pt idx="4">
                  <c:v>13</c:v>
                </c:pt>
                <c:pt idx="5">
                  <c:v>3</c:v>
                </c:pt>
                <c:pt idx="6">
                  <c:v>27</c:v>
                </c:pt>
                <c:pt idx="7">
                  <c:v>15</c:v>
                </c:pt>
                <c:pt idx="8">
                  <c:v>17</c:v>
                </c:pt>
                <c:pt idx="9">
                  <c:v>10</c:v>
                </c:pt>
                <c:pt idx="10">
                  <c:v>27</c:v>
                </c:pt>
                <c:pt idx="11">
                  <c:v>13</c:v>
                </c:pt>
                <c:pt idx="12">
                  <c:v>23</c:v>
                </c:pt>
                <c:pt idx="13">
                  <c:v>30</c:v>
                </c:pt>
                <c:pt idx="14">
                  <c:v>8</c:v>
                </c:pt>
                <c:pt idx="15">
                  <c:v>29</c:v>
                </c:pt>
                <c:pt idx="16">
                  <c:v>8</c:v>
                </c:pt>
                <c:pt idx="17">
                  <c:v>5</c:v>
                </c:pt>
                <c:pt idx="18">
                  <c:v>17</c:v>
                </c:pt>
                <c:pt idx="19">
                  <c:v>10</c:v>
                </c:pt>
                <c:pt idx="20">
                  <c:v>11</c:v>
                </c:pt>
                <c:pt idx="21">
                  <c:v>12</c:v>
                </c:pt>
                <c:pt idx="22">
                  <c:v>25</c:v>
                </c:pt>
                <c:pt idx="23">
                  <c:v>1</c:v>
                </c:pt>
                <c:pt idx="24">
                  <c:v>5</c:v>
                </c:pt>
                <c:pt idx="25">
                  <c:v>26</c:v>
                </c:pt>
                <c:pt idx="26">
                  <c:v>11</c:v>
                </c:pt>
                <c:pt idx="27">
                  <c:v>16</c:v>
                </c:pt>
                <c:pt idx="28">
                  <c:v>9</c:v>
                </c:pt>
                <c:pt idx="29">
                  <c:v>15</c:v>
                </c:pt>
                <c:pt idx="30">
                  <c:v>5</c:v>
                </c:pt>
                <c:pt idx="31">
                  <c:v>26</c:v>
                </c:pt>
                <c:pt idx="32">
                  <c:v>17</c:v>
                </c:pt>
                <c:pt idx="33">
                  <c:v>13</c:v>
                </c:pt>
                <c:pt idx="34">
                  <c:v>17</c:v>
                </c:pt>
                <c:pt idx="35">
                  <c:v>26</c:v>
                </c:pt>
                <c:pt idx="36">
                  <c:v>27</c:v>
                </c:pt>
                <c:pt idx="37">
                  <c:v>23</c:v>
                </c:pt>
                <c:pt idx="38">
                  <c:v>8</c:v>
                </c:pt>
                <c:pt idx="39">
                  <c:v>1</c:v>
                </c:pt>
                <c:pt idx="40">
                  <c:v>29</c:v>
                </c:pt>
                <c:pt idx="41">
                  <c:v>20</c:v>
                </c:pt>
                <c:pt idx="42">
                  <c:v>19</c:v>
                </c:pt>
                <c:pt idx="43">
                  <c:v>27</c:v>
                </c:pt>
                <c:pt idx="44">
                  <c:v>29</c:v>
                </c:pt>
                <c:pt idx="45">
                  <c:v>19</c:v>
                </c:pt>
                <c:pt idx="46">
                  <c:v>7</c:v>
                </c:pt>
                <c:pt idx="47">
                  <c:v>29</c:v>
                </c:pt>
                <c:pt idx="48">
                  <c:v>15</c:v>
                </c:pt>
                <c:pt idx="49">
                  <c:v>16</c:v>
                </c:pt>
                <c:pt idx="50">
                  <c:v>24</c:v>
                </c:pt>
                <c:pt idx="51">
                  <c:v>23</c:v>
                </c:pt>
                <c:pt idx="52">
                  <c:v>4</c:v>
                </c:pt>
                <c:pt idx="53">
                  <c:v>11</c:v>
                </c:pt>
                <c:pt idx="54">
                  <c:v>25</c:v>
                </c:pt>
                <c:pt idx="55">
                  <c:v>22</c:v>
                </c:pt>
                <c:pt idx="56">
                  <c:v>11</c:v>
                </c:pt>
                <c:pt idx="57">
                  <c:v>23</c:v>
                </c:pt>
                <c:pt idx="58">
                  <c:v>18</c:v>
                </c:pt>
                <c:pt idx="59">
                  <c:v>5</c:v>
                </c:pt>
                <c:pt idx="60">
                  <c:v>16</c:v>
                </c:pt>
                <c:pt idx="61">
                  <c:v>27</c:v>
                </c:pt>
                <c:pt idx="62">
                  <c:v>23</c:v>
                </c:pt>
                <c:pt idx="63">
                  <c:v>2</c:v>
                </c:pt>
                <c:pt idx="64">
                  <c:v>19</c:v>
                </c:pt>
                <c:pt idx="65">
                  <c:v>27</c:v>
                </c:pt>
                <c:pt idx="66">
                  <c:v>24</c:v>
                </c:pt>
                <c:pt idx="67">
                  <c:v>17</c:v>
                </c:pt>
                <c:pt idx="68">
                  <c:v>9</c:v>
                </c:pt>
                <c:pt idx="69">
                  <c:v>8</c:v>
                </c:pt>
                <c:pt idx="70">
                  <c:v>1</c:v>
                </c:pt>
                <c:pt idx="71">
                  <c:v>12</c:v>
                </c:pt>
                <c:pt idx="72">
                  <c:v>2</c:v>
                </c:pt>
                <c:pt idx="73">
                  <c:v>29</c:v>
                </c:pt>
                <c:pt idx="74">
                  <c:v>25</c:v>
                </c:pt>
                <c:pt idx="75">
                  <c:v>6</c:v>
                </c:pt>
                <c:pt idx="76">
                  <c:v>20</c:v>
                </c:pt>
                <c:pt idx="77">
                  <c:v>1</c:v>
                </c:pt>
                <c:pt idx="78">
                  <c:v>28</c:v>
                </c:pt>
                <c:pt idx="79">
                  <c:v>4</c:v>
                </c:pt>
                <c:pt idx="80">
                  <c:v>25</c:v>
                </c:pt>
                <c:pt idx="81">
                  <c:v>14</c:v>
                </c:pt>
                <c:pt idx="82">
                  <c:v>6</c:v>
                </c:pt>
                <c:pt idx="83">
                  <c:v>19</c:v>
                </c:pt>
                <c:pt idx="84">
                  <c:v>24</c:v>
                </c:pt>
                <c:pt idx="85">
                  <c:v>26</c:v>
                </c:pt>
                <c:pt idx="86">
                  <c:v>18</c:v>
                </c:pt>
                <c:pt idx="87">
                  <c:v>14</c:v>
                </c:pt>
                <c:pt idx="88">
                  <c:v>7</c:v>
                </c:pt>
                <c:pt idx="89">
                  <c:v>18</c:v>
                </c:pt>
                <c:pt idx="90">
                  <c:v>1</c:v>
                </c:pt>
                <c:pt idx="91">
                  <c:v>18</c:v>
                </c:pt>
                <c:pt idx="92">
                  <c:v>22</c:v>
                </c:pt>
                <c:pt idx="93">
                  <c:v>25</c:v>
                </c:pt>
                <c:pt idx="94">
                  <c:v>17</c:v>
                </c:pt>
                <c:pt idx="95">
                  <c:v>26</c:v>
                </c:pt>
                <c:pt idx="96">
                  <c:v>14</c:v>
                </c:pt>
                <c:pt idx="97">
                  <c:v>2</c:v>
                </c:pt>
                <c:pt idx="98">
                  <c:v>19</c:v>
                </c:pt>
                <c:pt idx="99">
                  <c:v>1</c:v>
                </c:pt>
                <c:pt idx="10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33-46B1-9B66-AC56629C21A2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yVal>
            <c:numRef>
              <c:f>supply_chain!$O$1:$O$101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33-46B1-9B66-AC56629C21A2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yVal>
            <c:numRef>
              <c:f>supply_chain!$M$1:$M$101</c:f>
              <c:numCache>
                <c:formatCode>General</c:formatCode>
                <c:ptCount val="101"/>
                <c:pt idx="0">
                  <c:v>0</c:v>
                </c:pt>
                <c:pt idx="1">
                  <c:v>2.96</c:v>
                </c:pt>
                <c:pt idx="2">
                  <c:v>9.7200000000000006</c:v>
                </c:pt>
                <c:pt idx="3">
                  <c:v>8.0500000000000007</c:v>
                </c:pt>
                <c:pt idx="4">
                  <c:v>1.73</c:v>
                </c:pt>
                <c:pt idx="5">
                  <c:v>3.89</c:v>
                </c:pt>
                <c:pt idx="6">
                  <c:v>4.4400000000000004</c:v>
                </c:pt>
                <c:pt idx="7">
                  <c:v>3.88</c:v>
                </c:pt>
                <c:pt idx="8">
                  <c:v>2.35</c:v>
                </c:pt>
                <c:pt idx="9">
                  <c:v>3.4</c:v>
                </c:pt>
                <c:pt idx="10">
                  <c:v>7.17</c:v>
                </c:pt>
                <c:pt idx="11">
                  <c:v>8.67</c:v>
                </c:pt>
                <c:pt idx="12">
                  <c:v>4.5199999999999996</c:v>
                </c:pt>
                <c:pt idx="13">
                  <c:v>1.33</c:v>
                </c:pt>
                <c:pt idx="14">
                  <c:v>9.5399999999999991</c:v>
                </c:pt>
                <c:pt idx="15">
                  <c:v>2.04</c:v>
                </c:pt>
                <c:pt idx="16">
                  <c:v>2.42</c:v>
                </c:pt>
                <c:pt idx="17">
                  <c:v>4.1900000000000004</c:v>
                </c:pt>
                <c:pt idx="18">
                  <c:v>3.59</c:v>
                </c:pt>
                <c:pt idx="19">
                  <c:v>4.34</c:v>
                </c:pt>
                <c:pt idx="20">
                  <c:v>4.74</c:v>
                </c:pt>
                <c:pt idx="21">
                  <c:v>8.8800000000000008</c:v>
                </c:pt>
                <c:pt idx="22">
                  <c:v>6.04</c:v>
                </c:pt>
                <c:pt idx="23">
                  <c:v>9.57</c:v>
                </c:pt>
                <c:pt idx="24">
                  <c:v>2.92</c:v>
                </c:pt>
                <c:pt idx="25">
                  <c:v>9.74</c:v>
                </c:pt>
                <c:pt idx="26">
                  <c:v>2.23</c:v>
                </c:pt>
                <c:pt idx="27">
                  <c:v>6.51</c:v>
                </c:pt>
                <c:pt idx="28">
                  <c:v>7.41</c:v>
                </c:pt>
                <c:pt idx="29">
                  <c:v>9.9</c:v>
                </c:pt>
                <c:pt idx="30">
                  <c:v>8.1</c:v>
                </c:pt>
                <c:pt idx="31">
                  <c:v>8.9499999999999993</c:v>
                </c:pt>
                <c:pt idx="32">
                  <c:v>2.68</c:v>
                </c:pt>
                <c:pt idx="33">
                  <c:v>6.6</c:v>
                </c:pt>
                <c:pt idx="34">
                  <c:v>4.8600000000000003</c:v>
                </c:pt>
                <c:pt idx="35">
                  <c:v>1.02</c:v>
                </c:pt>
                <c:pt idx="36">
                  <c:v>5.29</c:v>
                </c:pt>
                <c:pt idx="37">
                  <c:v>2.11</c:v>
                </c:pt>
                <c:pt idx="38">
                  <c:v>1.53</c:v>
                </c:pt>
                <c:pt idx="39">
                  <c:v>9.24</c:v>
                </c:pt>
                <c:pt idx="40">
                  <c:v>5.56</c:v>
                </c:pt>
                <c:pt idx="41">
                  <c:v>7.23</c:v>
                </c:pt>
                <c:pt idx="42">
                  <c:v>5.77</c:v>
                </c:pt>
                <c:pt idx="43">
                  <c:v>7.53</c:v>
                </c:pt>
                <c:pt idx="44">
                  <c:v>3.69</c:v>
                </c:pt>
                <c:pt idx="45">
                  <c:v>7.58</c:v>
                </c:pt>
                <c:pt idx="46">
                  <c:v>5.22</c:v>
                </c:pt>
                <c:pt idx="47">
                  <c:v>4.07</c:v>
                </c:pt>
                <c:pt idx="48">
                  <c:v>8.98</c:v>
                </c:pt>
                <c:pt idx="49">
                  <c:v>7.1</c:v>
                </c:pt>
                <c:pt idx="50">
                  <c:v>2.5099999999999998</c:v>
                </c:pt>
                <c:pt idx="51">
                  <c:v>6.25</c:v>
                </c:pt>
                <c:pt idx="52">
                  <c:v>4.78</c:v>
                </c:pt>
                <c:pt idx="53">
                  <c:v>8.6300000000000008</c:v>
                </c:pt>
                <c:pt idx="54">
                  <c:v>1.01</c:v>
                </c:pt>
                <c:pt idx="55">
                  <c:v>4.3099999999999996</c:v>
                </c:pt>
                <c:pt idx="56">
                  <c:v>5.01</c:v>
                </c:pt>
                <c:pt idx="57">
                  <c:v>1.77</c:v>
                </c:pt>
                <c:pt idx="58">
                  <c:v>9.16</c:v>
                </c:pt>
                <c:pt idx="59">
                  <c:v>4.9400000000000004</c:v>
                </c:pt>
                <c:pt idx="60">
                  <c:v>7.29</c:v>
                </c:pt>
                <c:pt idx="61">
                  <c:v>4.38</c:v>
                </c:pt>
                <c:pt idx="62">
                  <c:v>9.0299999999999994</c:v>
                </c:pt>
                <c:pt idx="63">
                  <c:v>7.29</c:v>
                </c:pt>
                <c:pt idx="64">
                  <c:v>2.46</c:v>
                </c:pt>
                <c:pt idx="65">
                  <c:v>4.59</c:v>
                </c:pt>
                <c:pt idx="66">
                  <c:v>6.58</c:v>
                </c:pt>
                <c:pt idx="67">
                  <c:v>2.2200000000000002</c:v>
                </c:pt>
                <c:pt idx="68">
                  <c:v>9.15</c:v>
                </c:pt>
                <c:pt idx="69">
                  <c:v>1.19</c:v>
                </c:pt>
                <c:pt idx="70">
                  <c:v>9.7100000000000009</c:v>
                </c:pt>
                <c:pt idx="71">
                  <c:v>6.32</c:v>
                </c:pt>
                <c:pt idx="72">
                  <c:v>9.23</c:v>
                </c:pt>
                <c:pt idx="73">
                  <c:v>6.6</c:v>
                </c:pt>
                <c:pt idx="74">
                  <c:v>1.51</c:v>
                </c:pt>
                <c:pt idx="75">
                  <c:v>5.24</c:v>
                </c:pt>
                <c:pt idx="76">
                  <c:v>2.4700000000000002</c:v>
                </c:pt>
                <c:pt idx="77">
                  <c:v>7.05</c:v>
                </c:pt>
                <c:pt idx="78">
                  <c:v>6.78</c:v>
                </c:pt>
                <c:pt idx="79">
                  <c:v>8.4700000000000006</c:v>
                </c:pt>
                <c:pt idx="80">
                  <c:v>6.5</c:v>
                </c:pt>
                <c:pt idx="81">
                  <c:v>2.83</c:v>
                </c:pt>
                <c:pt idx="82">
                  <c:v>4.07</c:v>
                </c:pt>
                <c:pt idx="83">
                  <c:v>4.71</c:v>
                </c:pt>
                <c:pt idx="84">
                  <c:v>4.95</c:v>
                </c:pt>
                <c:pt idx="85">
                  <c:v>8.3800000000000008</c:v>
                </c:pt>
                <c:pt idx="86">
                  <c:v>8.25</c:v>
                </c:pt>
                <c:pt idx="87">
                  <c:v>1.45</c:v>
                </c:pt>
                <c:pt idx="88">
                  <c:v>6.58</c:v>
                </c:pt>
                <c:pt idx="89">
                  <c:v>3.8</c:v>
                </c:pt>
                <c:pt idx="90">
                  <c:v>9.93</c:v>
                </c:pt>
                <c:pt idx="91">
                  <c:v>7.67</c:v>
                </c:pt>
                <c:pt idx="92">
                  <c:v>7.47</c:v>
                </c:pt>
                <c:pt idx="93">
                  <c:v>4.47</c:v>
                </c:pt>
                <c:pt idx="94">
                  <c:v>7.01</c:v>
                </c:pt>
                <c:pt idx="95">
                  <c:v>6.94</c:v>
                </c:pt>
                <c:pt idx="96">
                  <c:v>8.6300000000000008</c:v>
                </c:pt>
                <c:pt idx="97">
                  <c:v>5.35</c:v>
                </c:pt>
                <c:pt idx="98">
                  <c:v>7.9</c:v>
                </c:pt>
                <c:pt idx="99">
                  <c:v>1.41</c:v>
                </c:pt>
                <c:pt idx="100">
                  <c:v>1.31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33-46B1-9B66-AC56629C2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8368224"/>
        <c:axId val="898370848"/>
      </c:scatterChart>
      <c:valAx>
        <c:axId val="8983682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70848"/>
        <c:crosses val="autoZero"/>
        <c:crossBetween val="midCat"/>
      </c:valAx>
      <c:valAx>
        <c:axId val="89837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89836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 chain (version 1).xlsx]Costs by SKU!PivotTable1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Costs by SKU</a:t>
            </a:r>
            <a:endParaRPr lang="en-US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'Costs by SKU'!$B$3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'Costs by SKU'!$A$4:$A$105</c:f>
              <c:strCache>
                <c:ptCount val="101"/>
                <c:pt idx="0">
                  <c:v>SKU0</c:v>
                </c:pt>
                <c:pt idx="1">
                  <c:v>SKU1</c:v>
                </c:pt>
                <c:pt idx="2">
                  <c:v>SKU10</c:v>
                </c:pt>
                <c:pt idx="3">
                  <c:v>SKU11</c:v>
                </c:pt>
                <c:pt idx="4">
                  <c:v>SKU12</c:v>
                </c:pt>
                <c:pt idx="5">
                  <c:v>SKU13</c:v>
                </c:pt>
                <c:pt idx="6">
                  <c:v>SKU14</c:v>
                </c:pt>
                <c:pt idx="7">
                  <c:v>SKU15</c:v>
                </c:pt>
                <c:pt idx="8">
                  <c:v>SKU16</c:v>
                </c:pt>
                <c:pt idx="9">
                  <c:v>SKU17</c:v>
                </c:pt>
                <c:pt idx="10">
                  <c:v>SKU18</c:v>
                </c:pt>
                <c:pt idx="11">
                  <c:v>SKU19</c:v>
                </c:pt>
                <c:pt idx="12">
                  <c:v>SKU2</c:v>
                </c:pt>
                <c:pt idx="13">
                  <c:v>SKU20</c:v>
                </c:pt>
                <c:pt idx="14">
                  <c:v>SKU21</c:v>
                </c:pt>
                <c:pt idx="15">
                  <c:v>SKU22</c:v>
                </c:pt>
                <c:pt idx="16">
                  <c:v>SKU23</c:v>
                </c:pt>
                <c:pt idx="17">
                  <c:v>SKU24</c:v>
                </c:pt>
                <c:pt idx="18">
                  <c:v>SKU25</c:v>
                </c:pt>
                <c:pt idx="19">
                  <c:v>SKU26</c:v>
                </c:pt>
                <c:pt idx="20">
                  <c:v>SKU27</c:v>
                </c:pt>
                <c:pt idx="21">
                  <c:v>SKU28</c:v>
                </c:pt>
                <c:pt idx="22">
                  <c:v>SKU29</c:v>
                </c:pt>
                <c:pt idx="23">
                  <c:v>SKU3</c:v>
                </c:pt>
                <c:pt idx="24">
                  <c:v>SKU30</c:v>
                </c:pt>
                <c:pt idx="25">
                  <c:v>SKU31</c:v>
                </c:pt>
                <c:pt idx="26">
                  <c:v>SKU32</c:v>
                </c:pt>
                <c:pt idx="27">
                  <c:v>SKU33</c:v>
                </c:pt>
                <c:pt idx="28">
                  <c:v>SKU34</c:v>
                </c:pt>
                <c:pt idx="29">
                  <c:v>SKU35</c:v>
                </c:pt>
                <c:pt idx="30">
                  <c:v>SKU36</c:v>
                </c:pt>
                <c:pt idx="31">
                  <c:v>SKU37</c:v>
                </c:pt>
                <c:pt idx="32">
                  <c:v>SKU38</c:v>
                </c:pt>
                <c:pt idx="33">
                  <c:v>SKU39</c:v>
                </c:pt>
                <c:pt idx="34">
                  <c:v>SKU4</c:v>
                </c:pt>
                <c:pt idx="35">
                  <c:v>SKU40</c:v>
                </c:pt>
                <c:pt idx="36">
                  <c:v>SKU41</c:v>
                </c:pt>
                <c:pt idx="37">
                  <c:v>SKU42</c:v>
                </c:pt>
                <c:pt idx="38">
                  <c:v>SKU43</c:v>
                </c:pt>
                <c:pt idx="39">
                  <c:v>SKU44</c:v>
                </c:pt>
                <c:pt idx="40">
                  <c:v>SKU45</c:v>
                </c:pt>
                <c:pt idx="41">
                  <c:v>SKU46</c:v>
                </c:pt>
                <c:pt idx="42">
                  <c:v>SKU47</c:v>
                </c:pt>
                <c:pt idx="43">
                  <c:v>SKU48</c:v>
                </c:pt>
                <c:pt idx="44">
                  <c:v>SKU49</c:v>
                </c:pt>
                <c:pt idx="45">
                  <c:v>SKU5</c:v>
                </c:pt>
                <c:pt idx="46">
                  <c:v>SKU50</c:v>
                </c:pt>
                <c:pt idx="47">
                  <c:v>SKU51</c:v>
                </c:pt>
                <c:pt idx="48">
                  <c:v>SKU52</c:v>
                </c:pt>
                <c:pt idx="49">
                  <c:v>SKU53</c:v>
                </c:pt>
                <c:pt idx="50">
                  <c:v>SKU54</c:v>
                </c:pt>
                <c:pt idx="51">
                  <c:v>SKU55</c:v>
                </c:pt>
                <c:pt idx="52">
                  <c:v>SKU56</c:v>
                </c:pt>
                <c:pt idx="53">
                  <c:v>SKU57</c:v>
                </c:pt>
                <c:pt idx="54">
                  <c:v>SKU58</c:v>
                </c:pt>
                <c:pt idx="55">
                  <c:v>SKU59</c:v>
                </c:pt>
                <c:pt idx="56">
                  <c:v>SKU6</c:v>
                </c:pt>
                <c:pt idx="57">
                  <c:v>SKU60</c:v>
                </c:pt>
                <c:pt idx="58">
                  <c:v>SKU61</c:v>
                </c:pt>
                <c:pt idx="59">
                  <c:v>SKU62</c:v>
                </c:pt>
                <c:pt idx="60">
                  <c:v>SKU63</c:v>
                </c:pt>
                <c:pt idx="61">
                  <c:v>SKU64</c:v>
                </c:pt>
                <c:pt idx="62">
                  <c:v>SKU65</c:v>
                </c:pt>
                <c:pt idx="63">
                  <c:v>SKU66</c:v>
                </c:pt>
                <c:pt idx="64">
                  <c:v>SKU67</c:v>
                </c:pt>
                <c:pt idx="65">
                  <c:v>SKU68</c:v>
                </c:pt>
                <c:pt idx="66">
                  <c:v>SKU69</c:v>
                </c:pt>
                <c:pt idx="67">
                  <c:v>SKU7</c:v>
                </c:pt>
                <c:pt idx="68">
                  <c:v>SKU70</c:v>
                </c:pt>
                <c:pt idx="69">
                  <c:v>SKU71</c:v>
                </c:pt>
                <c:pt idx="70">
                  <c:v>SKU72</c:v>
                </c:pt>
                <c:pt idx="71">
                  <c:v>SKU73</c:v>
                </c:pt>
                <c:pt idx="72">
                  <c:v>SKU74</c:v>
                </c:pt>
                <c:pt idx="73">
                  <c:v>SKU75</c:v>
                </c:pt>
                <c:pt idx="74">
                  <c:v>SKU76</c:v>
                </c:pt>
                <c:pt idx="75">
                  <c:v>SKU77</c:v>
                </c:pt>
                <c:pt idx="76">
                  <c:v>SKU78</c:v>
                </c:pt>
                <c:pt idx="77">
                  <c:v>SKU79</c:v>
                </c:pt>
                <c:pt idx="78">
                  <c:v>SKU8</c:v>
                </c:pt>
                <c:pt idx="79">
                  <c:v>SKU80</c:v>
                </c:pt>
                <c:pt idx="80">
                  <c:v>SKU81</c:v>
                </c:pt>
                <c:pt idx="81">
                  <c:v>SKU82</c:v>
                </c:pt>
                <c:pt idx="82">
                  <c:v>SKU83</c:v>
                </c:pt>
                <c:pt idx="83">
                  <c:v>SKU84</c:v>
                </c:pt>
                <c:pt idx="84">
                  <c:v>SKU85</c:v>
                </c:pt>
                <c:pt idx="85">
                  <c:v>SKU86</c:v>
                </c:pt>
                <c:pt idx="86">
                  <c:v>SKU87</c:v>
                </c:pt>
                <c:pt idx="87">
                  <c:v>SKU88</c:v>
                </c:pt>
                <c:pt idx="88">
                  <c:v>SKU89</c:v>
                </c:pt>
                <c:pt idx="89">
                  <c:v>SKU9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  <c:pt idx="100">
                  <c:v>(blank)</c:v>
                </c:pt>
              </c:strCache>
            </c:strRef>
          </c:cat>
          <c:val>
            <c:numRef>
              <c:f>'Costs by SKU'!$B$4:$B$105</c:f>
              <c:numCache>
                <c:formatCode>General</c:formatCode>
                <c:ptCount val="101"/>
                <c:pt idx="0">
                  <c:v>187.75</c:v>
                </c:pt>
                <c:pt idx="1">
                  <c:v>503.07</c:v>
                </c:pt>
                <c:pt idx="2">
                  <c:v>806.1</c:v>
                </c:pt>
                <c:pt idx="3">
                  <c:v>126.72</c:v>
                </c:pt>
                <c:pt idx="4">
                  <c:v>402.97</c:v>
                </c:pt>
                <c:pt idx="5">
                  <c:v>547.24</c:v>
                </c:pt>
                <c:pt idx="6">
                  <c:v>929.24</c:v>
                </c:pt>
                <c:pt idx="7">
                  <c:v>127.86</c:v>
                </c:pt>
                <c:pt idx="8">
                  <c:v>865.53</c:v>
                </c:pt>
                <c:pt idx="9">
                  <c:v>670.93</c:v>
                </c:pt>
                <c:pt idx="10">
                  <c:v>593.48</c:v>
                </c:pt>
                <c:pt idx="11">
                  <c:v>477.31</c:v>
                </c:pt>
                <c:pt idx="12">
                  <c:v>141.91999999999999</c:v>
                </c:pt>
                <c:pt idx="13">
                  <c:v>493.87</c:v>
                </c:pt>
                <c:pt idx="14">
                  <c:v>523.36</c:v>
                </c:pt>
                <c:pt idx="15">
                  <c:v>205.57</c:v>
                </c:pt>
                <c:pt idx="16">
                  <c:v>196.33</c:v>
                </c:pt>
                <c:pt idx="17">
                  <c:v>758.72</c:v>
                </c:pt>
                <c:pt idx="18">
                  <c:v>458.54</c:v>
                </c:pt>
                <c:pt idx="19">
                  <c:v>617.87</c:v>
                </c:pt>
                <c:pt idx="20">
                  <c:v>762.46</c:v>
                </c:pt>
                <c:pt idx="21">
                  <c:v>123.44</c:v>
                </c:pt>
                <c:pt idx="22">
                  <c:v>764.94</c:v>
                </c:pt>
                <c:pt idx="23">
                  <c:v>254.78</c:v>
                </c:pt>
                <c:pt idx="24">
                  <c:v>880.08</c:v>
                </c:pt>
                <c:pt idx="25">
                  <c:v>609.38</c:v>
                </c:pt>
                <c:pt idx="26">
                  <c:v>761.17</c:v>
                </c:pt>
                <c:pt idx="27">
                  <c:v>371.26</c:v>
                </c:pt>
                <c:pt idx="28">
                  <c:v>510.36</c:v>
                </c:pt>
                <c:pt idx="29">
                  <c:v>553.41999999999996</c:v>
                </c:pt>
                <c:pt idx="30">
                  <c:v>403.81</c:v>
                </c:pt>
                <c:pt idx="31">
                  <c:v>183.93</c:v>
                </c:pt>
                <c:pt idx="32">
                  <c:v>339.67</c:v>
                </c:pt>
                <c:pt idx="33">
                  <c:v>653.66999999999996</c:v>
                </c:pt>
                <c:pt idx="34">
                  <c:v>923.44</c:v>
                </c:pt>
                <c:pt idx="35">
                  <c:v>529.80999999999995</c:v>
                </c:pt>
                <c:pt idx="36">
                  <c:v>275.52</c:v>
                </c:pt>
                <c:pt idx="37">
                  <c:v>635.66</c:v>
                </c:pt>
                <c:pt idx="38">
                  <c:v>716.04</c:v>
                </c:pt>
                <c:pt idx="39">
                  <c:v>610.45000000000005</c:v>
                </c:pt>
                <c:pt idx="40">
                  <c:v>495.31</c:v>
                </c:pt>
                <c:pt idx="41">
                  <c:v>380.44</c:v>
                </c:pt>
                <c:pt idx="42">
                  <c:v>581.6</c:v>
                </c:pt>
                <c:pt idx="43">
                  <c:v>768.65</c:v>
                </c:pt>
                <c:pt idx="44">
                  <c:v>336.89</c:v>
                </c:pt>
                <c:pt idx="45">
                  <c:v>235.46</c:v>
                </c:pt>
                <c:pt idx="46">
                  <c:v>496.25</c:v>
                </c:pt>
                <c:pt idx="47">
                  <c:v>694.98</c:v>
                </c:pt>
                <c:pt idx="48">
                  <c:v>602.9</c:v>
                </c:pt>
                <c:pt idx="49">
                  <c:v>750.74</c:v>
                </c:pt>
                <c:pt idx="50">
                  <c:v>814.07</c:v>
                </c:pt>
                <c:pt idx="51">
                  <c:v>323.01</c:v>
                </c:pt>
                <c:pt idx="52">
                  <c:v>832.21</c:v>
                </c:pt>
                <c:pt idx="53">
                  <c:v>482.19</c:v>
                </c:pt>
                <c:pt idx="54">
                  <c:v>110.36</c:v>
                </c:pt>
                <c:pt idx="55">
                  <c:v>312.57</c:v>
                </c:pt>
                <c:pt idx="56">
                  <c:v>134.37</c:v>
                </c:pt>
                <c:pt idx="57">
                  <c:v>430.17</c:v>
                </c:pt>
                <c:pt idx="58">
                  <c:v>164.37</c:v>
                </c:pt>
                <c:pt idx="59">
                  <c:v>320.85000000000002</c:v>
                </c:pt>
                <c:pt idx="60">
                  <c:v>687.29</c:v>
                </c:pt>
                <c:pt idx="61">
                  <c:v>771.23</c:v>
                </c:pt>
                <c:pt idx="62">
                  <c:v>555.86</c:v>
                </c:pt>
                <c:pt idx="63">
                  <c:v>393.84</c:v>
                </c:pt>
                <c:pt idx="64">
                  <c:v>169.27</c:v>
                </c:pt>
                <c:pt idx="65">
                  <c:v>299.70999999999998</c:v>
                </c:pt>
                <c:pt idx="66">
                  <c:v>207.66</c:v>
                </c:pt>
                <c:pt idx="67">
                  <c:v>802.06</c:v>
                </c:pt>
                <c:pt idx="68">
                  <c:v>183.27</c:v>
                </c:pt>
                <c:pt idx="69">
                  <c:v>405.17</c:v>
                </c:pt>
                <c:pt idx="70">
                  <c:v>677.94</c:v>
                </c:pt>
                <c:pt idx="71">
                  <c:v>866.47</c:v>
                </c:pt>
                <c:pt idx="72">
                  <c:v>341.55</c:v>
                </c:pt>
                <c:pt idx="73">
                  <c:v>873.13</c:v>
                </c:pt>
                <c:pt idx="74">
                  <c:v>997.41</c:v>
                </c:pt>
                <c:pt idx="75">
                  <c:v>852.57</c:v>
                </c:pt>
                <c:pt idx="76">
                  <c:v>323.58999999999997</c:v>
                </c:pt>
                <c:pt idx="77">
                  <c:v>351.5</c:v>
                </c:pt>
                <c:pt idx="78">
                  <c:v>505.56</c:v>
                </c:pt>
                <c:pt idx="79">
                  <c:v>787.78</c:v>
                </c:pt>
                <c:pt idx="80">
                  <c:v>276.77999999999997</c:v>
                </c:pt>
                <c:pt idx="81">
                  <c:v>589.98</c:v>
                </c:pt>
                <c:pt idx="82">
                  <c:v>682.97</c:v>
                </c:pt>
                <c:pt idx="83">
                  <c:v>465.46</c:v>
                </c:pt>
                <c:pt idx="84">
                  <c:v>842.69</c:v>
                </c:pt>
                <c:pt idx="85">
                  <c:v>264.25</c:v>
                </c:pt>
                <c:pt idx="86">
                  <c:v>879.36</c:v>
                </c:pt>
                <c:pt idx="87">
                  <c:v>103.92</c:v>
                </c:pt>
                <c:pt idx="88">
                  <c:v>517.5</c:v>
                </c:pt>
                <c:pt idx="89">
                  <c:v>995.93</c:v>
                </c:pt>
                <c:pt idx="90">
                  <c:v>990.08</c:v>
                </c:pt>
                <c:pt idx="91">
                  <c:v>996.78</c:v>
                </c:pt>
                <c:pt idx="92">
                  <c:v>230.09</c:v>
                </c:pt>
                <c:pt idx="93">
                  <c:v>823.52</c:v>
                </c:pt>
                <c:pt idx="94">
                  <c:v>846.67</c:v>
                </c:pt>
                <c:pt idx="95">
                  <c:v>778.86</c:v>
                </c:pt>
                <c:pt idx="96">
                  <c:v>188.74</c:v>
                </c:pt>
                <c:pt idx="97">
                  <c:v>540.13</c:v>
                </c:pt>
                <c:pt idx="98">
                  <c:v>882.2</c:v>
                </c:pt>
                <c:pt idx="99">
                  <c:v>210.74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F7-4B77-BE80-C4A06EB6E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011000"/>
        <c:axId val="540007392"/>
      </c:barChart>
      <c:catAx>
        <c:axId val="540011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07392"/>
        <c:crosses val="autoZero"/>
        <c:auto val="1"/>
        <c:lblAlgn val="ctr"/>
        <c:lblOffset val="100"/>
        <c:noMultiLvlLbl val="0"/>
      </c:catAx>
      <c:valAx>
        <c:axId val="540007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11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Total Cost vs. Defect Rates</a:t>
            </a:r>
            <a:endParaRPr lang="en-GB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supply_chain!$X$1</c:f>
              <c:strCache>
                <c:ptCount val="1"/>
                <c:pt idx="0">
                  <c:v>costs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supply_chain!$U$2:$U$101</c:f>
              <c:numCache>
                <c:formatCode>General</c:formatCode>
                <c:ptCount val="100"/>
                <c:pt idx="0">
                  <c:v>0.23</c:v>
                </c:pt>
                <c:pt idx="1">
                  <c:v>4.8499999999999996</c:v>
                </c:pt>
                <c:pt idx="2">
                  <c:v>4.58</c:v>
                </c:pt>
                <c:pt idx="3">
                  <c:v>4.75</c:v>
                </c:pt>
                <c:pt idx="4">
                  <c:v>3.15</c:v>
                </c:pt>
                <c:pt idx="5">
                  <c:v>2.78</c:v>
                </c:pt>
                <c:pt idx="6">
                  <c:v>1</c:v>
                </c:pt>
                <c:pt idx="7">
                  <c:v>0.4</c:v>
                </c:pt>
                <c:pt idx="8">
                  <c:v>2.71</c:v>
                </c:pt>
                <c:pt idx="9">
                  <c:v>3.84</c:v>
                </c:pt>
                <c:pt idx="10">
                  <c:v>1.73</c:v>
                </c:pt>
                <c:pt idx="11">
                  <c:v>0.02</c:v>
                </c:pt>
                <c:pt idx="12">
                  <c:v>2.16</c:v>
                </c:pt>
                <c:pt idx="13">
                  <c:v>1.63</c:v>
                </c:pt>
                <c:pt idx="14">
                  <c:v>0.1</c:v>
                </c:pt>
                <c:pt idx="15">
                  <c:v>2.2599999999999998</c:v>
                </c:pt>
                <c:pt idx="16">
                  <c:v>1.01</c:v>
                </c:pt>
                <c:pt idx="17">
                  <c:v>0.1</c:v>
                </c:pt>
                <c:pt idx="18">
                  <c:v>2.23</c:v>
                </c:pt>
                <c:pt idx="19">
                  <c:v>3.65</c:v>
                </c:pt>
                <c:pt idx="20">
                  <c:v>4.2300000000000004</c:v>
                </c:pt>
                <c:pt idx="21">
                  <c:v>0.02</c:v>
                </c:pt>
                <c:pt idx="22">
                  <c:v>2.59</c:v>
                </c:pt>
                <c:pt idx="23">
                  <c:v>1.34</c:v>
                </c:pt>
                <c:pt idx="24">
                  <c:v>3.69</c:v>
                </c:pt>
                <c:pt idx="25">
                  <c:v>3.8</c:v>
                </c:pt>
                <c:pt idx="26">
                  <c:v>2.12</c:v>
                </c:pt>
                <c:pt idx="27">
                  <c:v>2.86</c:v>
                </c:pt>
                <c:pt idx="28">
                  <c:v>0.82</c:v>
                </c:pt>
                <c:pt idx="29">
                  <c:v>3.88</c:v>
                </c:pt>
                <c:pt idx="30">
                  <c:v>0.97</c:v>
                </c:pt>
                <c:pt idx="31">
                  <c:v>2.99</c:v>
                </c:pt>
                <c:pt idx="32">
                  <c:v>1.95</c:v>
                </c:pt>
                <c:pt idx="33">
                  <c:v>3.54</c:v>
                </c:pt>
                <c:pt idx="34">
                  <c:v>0.65</c:v>
                </c:pt>
                <c:pt idx="35">
                  <c:v>0.54</c:v>
                </c:pt>
                <c:pt idx="36">
                  <c:v>3.81</c:v>
                </c:pt>
                <c:pt idx="37">
                  <c:v>2.61</c:v>
                </c:pt>
                <c:pt idx="38">
                  <c:v>0.61</c:v>
                </c:pt>
                <c:pt idx="39">
                  <c:v>1.45</c:v>
                </c:pt>
                <c:pt idx="40">
                  <c:v>4.21</c:v>
                </c:pt>
                <c:pt idx="41">
                  <c:v>0.05</c:v>
                </c:pt>
                <c:pt idx="42">
                  <c:v>4.9400000000000004</c:v>
                </c:pt>
                <c:pt idx="43">
                  <c:v>0.37</c:v>
                </c:pt>
                <c:pt idx="44">
                  <c:v>2.96</c:v>
                </c:pt>
                <c:pt idx="45">
                  <c:v>3.22</c:v>
                </c:pt>
                <c:pt idx="46">
                  <c:v>3.65</c:v>
                </c:pt>
                <c:pt idx="47">
                  <c:v>0.38</c:v>
                </c:pt>
                <c:pt idx="48">
                  <c:v>1.7</c:v>
                </c:pt>
                <c:pt idx="49">
                  <c:v>2.83</c:v>
                </c:pt>
                <c:pt idx="50">
                  <c:v>4.75</c:v>
                </c:pt>
                <c:pt idx="51">
                  <c:v>1.77</c:v>
                </c:pt>
                <c:pt idx="52">
                  <c:v>2.12</c:v>
                </c:pt>
                <c:pt idx="53">
                  <c:v>1.41</c:v>
                </c:pt>
                <c:pt idx="54">
                  <c:v>2.48</c:v>
                </c:pt>
                <c:pt idx="55">
                  <c:v>4.55</c:v>
                </c:pt>
                <c:pt idx="56">
                  <c:v>1.17</c:v>
                </c:pt>
                <c:pt idx="57">
                  <c:v>2.5099999999999998</c:v>
                </c:pt>
                <c:pt idx="58">
                  <c:v>1.73</c:v>
                </c:pt>
                <c:pt idx="59">
                  <c:v>0.45</c:v>
                </c:pt>
                <c:pt idx="60">
                  <c:v>2.85</c:v>
                </c:pt>
                <c:pt idx="61">
                  <c:v>4.37</c:v>
                </c:pt>
                <c:pt idx="62">
                  <c:v>1.87</c:v>
                </c:pt>
                <c:pt idx="63">
                  <c:v>3.63</c:v>
                </c:pt>
                <c:pt idx="64">
                  <c:v>0.16</c:v>
                </c:pt>
                <c:pt idx="65">
                  <c:v>4.91</c:v>
                </c:pt>
                <c:pt idx="66">
                  <c:v>3.45</c:v>
                </c:pt>
                <c:pt idx="67">
                  <c:v>0.13</c:v>
                </c:pt>
                <c:pt idx="68">
                  <c:v>1.98</c:v>
                </c:pt>
                <c:pt idx="69">
                  <c:v>1.36</c:v>
                </c:pt>
                <c:pt idx="70">
                  <c:v>1.83</c:v>
                </c:pt>
                <c:pt idx="71">
                  <c:v>2.08</c:v>
                </c:pt>
                <c:pt idx="72">
                  <c:v>3.21</c:v>
                </c:pt>
                <c:pt idx="73">
                  <c:v>4.62</c:v>
                </c:pt>
                <c:pt idx="74">
                  <c:v>0.4</c:v>
                </c:pt>
                <c:pt idx="75">
                  <c:v>2.0299999999999998</c:v>
                </c:pt>
                <c:pt idx="76">
                  <c:v>2.1800000000000002</c:v>
                </c:pt>
                <c:pt idx="77">
                  <c:v>3.06</c:v>
                </c:pt>
                <c:pt idx="78">
                  <c:v>4.0999999999999996</c:v>
                </c:pt>
                <c:pt idx="79">
                  <c:v>0.17</c:v>
                </c:pt>
                <c:pt idx="80">
                  <c:v>2.85</c:v>
                </c:pt>
                <c:pt idx="81">
                  <c:v>2.5499999999999998</c:v>
                </c:pt>
                <c:pt idx="82">
                  <c:v>4.1399999999999997</c:v>
                </c:pt>
                <c:pt idx="83">
                  <c:v>0.77</c:v>
                </c:pt>
                <c:pt idx="84">
                  <c:v>4.84</c:v>
                </c:pt>
                <c:pt idx="85">
                  <c:v>1.37</c:v>
                </c:pt>
                <c:pt idx="86">
                  <c:v>2.0499999999999998</c:v>
                </c:pt>
                <c:pt idx="87">
                  <c:v>3.69</c:v>
                </c:pt>
                <c:pt idx="88">
                  <c:v>0.72</c:v>
                </c:pt>
                <c:pt idx="89">
                  <c:v>1.91</c:v>
                </c:pt>
                <c:pt idx="90">
                  <c:v>1.22</c:v>
                </c:pt>
                <c:pt idx="91">
                  <c:v>0.63</c:v>
                </c:pt>
                <c:pt idx="92">
                  <c:v>0.33</c:v>
                </c:pt>
                <c:pt idx="93">
                  <c:v>4.17</c:v>
                </c:pt>
                <c:pt idx="94">
                  <c:v>1.46</c:v>
                </c:pt>
                <c:pt idx="95">
                  <c:v>1.21</c:v>
                </c:pt>
                <c:pt idx="96">
                  <c:v>3.87</c:v>
                </c:pt>
                <c:pt idx="97">
                  <c:v>3.38</c:v>
                </c:pt>
                <c:pt idx="98">
                  <c:v>2.91</c:v>
                </c:pt>
                <c:pt idx="99">
                  <c:v>0.35</c:v>
                </c:pt>
              </c:numCache>
            </c:numRef>
          </c:xVal>
          <c:yVal>
            <c:numRef>
              <c:f>supply_chain!$X$2:$X$101</c:f>
              <c:numCache>
                <c:formatCode>General</c:formatCode>
                <c:ptCount val="100"/>
                <c:pt idx="0">
                  <c:v>187.75</c:v>
                </c:pt>
                <c:pt idx="1">
                  <c:v>503.07</c:v>
                </c:pt>
                <c:pt idx="2">
                  <c:v>141.91999999999999</c:v>
                </c:pt>
                <c:pt idx="3">
                  <c:v>254.78</c:v>
                </c:pt>
                <c:pt idx="4">
                  <c:v>923.44</c:v>
                </c:pt>
                <c:pt idx="5">
                  <c:v>235.46</c:v>
                </c:pt>
                <c:pt idx="6">
                  <c:v>134.37</c:v>
                </c:pt>
                <c:pt idx="7">
                  <c:v>802.06</c:v>
                </c:pt>
                <c:pt idx="8">
                  <c:v>505.56</c:v>
                </c:pt>
                <c:pt idx="9">
                  <c:v>995.93</c:v>
                </c:pt>
                <c:pt idx="10">
                  <c:v>806.1</c:v>
                </c:pt>
                <c:pt idx="11">
                  <c:v>126.72</c:v>
                </c:pt>
                <c:pt idx="12">
                  <c:v>402.97</c:v>
                </c:pt>
                <c:pt idx="13">
                  <c:v>547.24</c:v>
                </c:pt>
                <c:pt idx="14">
                  <c:v>929.24</c:v>
                </c:pt>
                <c:pt idx="15">
                  <c:v>127.86</c:v>
                </c:pt>
                <c:pt idx="16">
                  <c:v>865.53</c:v>
                </c:pt>
                <c:pt idx="17">
                  <c:v>670.93</c:v>
                </c:pt>
                <c:pt idx="18">
                  <c:v>593.48</c:v>
                </c:pt>
                <c:pt idx="19">
                  <c:v>477.31</c:v>
                </c:pt>
                <c:pt idx="20">
                  <c:v>493.87</c:v>
                </c:pt>
                <c:pt idx="21">
                  <c:v>523.36</c:v>
                </c:pt>
                <c:pt idx="22">
                  <c:v>205.57</c:v>
                </c:pt>
                <c:pt idx="23">
                  <c:v>196.33</c:v>
                </c:pt>
                <c:pt idx="24">
                  <c:v>758.72</c:v>
                </c:pt>
                <c:pt idx="25">
                  <c:v>458.54</c:v>
                </c:pt>
                <c:pt idx="26">
                  <c:v>617.87</c:v>
                </c:pt>
                <c:pt idx="27">
                  <c:v>762.46</c:v>
                </c:pt>
                <c:pt idx="28">
                  <c:v>123.44</c:v>
                </c:pt>
                <c:pt idx="29">
                  <c:v>764.94</c:v>
                </c:pt>
                <c:pt idx="30">
                  <c:v>880.08</c:v>
                </c:pt>
                <c:pt idx="31">
                  <c:v>609.38</c:v>
                </c:pt>
                <c:pt idx="32">
                  <c:v>761.17</c:v>
                </c:pt>
                <c:pt idx="33">
                  <c:v>371.26</c:v>
                </c:pt>
                <c:pt idx="34">
                  <c:v>510.36</c:v>
                </c:pt>
                <c:pt idx="35">
                  <c:v>553.41999999999996</c:v>
                </c:pt>
                <c:pt idx="36">
                  <c:v>403.81</c:v>
                </c:pt>
                <c:pt idx="37">
                  <c:v>183.93</c:v>
                </c:pt>
                <c:pt idx="38">
                  <c:v>339.67</c:v>
                </c:pt>
                <c:pt idx="39">
                  <c:v>653.66999999999996</c:v>
                </c:pt>
                <c:pt idx="40">
                  <c:v>529.80999999999995</c:v>
                </c:pt>
                <c:pt idx="41">
                  <c:v>275.52</c:v>
                </c:pt>
                <c:pt idx="42">
                  <c:v>635.66</c:v>
                </c:pt>
                <c:pt idx="43">
                  <c:v>716.04</c:v>
                </c:pt>
                <c:pt idx="44">
                  <c:v>610.45000000000005</c:v>
                </c:pt>
                <c:pt idx="45">
                  <c:v>495.31</c:v>
                </c:pt>
                <c:pt idx="46">
                  <c:v>380.44</c:v>
                </c:pt>
                <c:pt idx="47">
                  <c:v>581.6</c:v>
                </c:pt>
                <c:pt idx="48">
                  <c:v>768.65</c:v>
                </c:pt>
                <c:pt idx="49">
                  <c:v>336.89</c:v>
                </c:pt>
                <c:pt idx="50">
                  <c:v>496.25</c:v>
                </c:pt>
                <c:pt idx="51">
                  <c:v>694.98</c:v>
                </c:pt>
                <c:pt idx="52">
                  <c:v>602.9</c:v>
                </c:pt>
                <c:pt idx="53">
                  <c:v>750.74</c:v>
                </c:pt>
                <c:pt idx="54">
                  <c:v>814.07</c:v>
                </c:pt>
                <c:pt idx="55">
                  <c:v>323.01</c:v>
                </c:pt>
                <c:pt idx="56">
                  <c:v>832.21</c:v>
                </c:pt>
                <c:pt idx="57">
                  <c:v>482.19</c:v>
                </c:pt>
                <c:pt idx="58">
                  <c:v>110.36</c:v>
                </c:pt>
                <c:pt idx="59">
                  <c:v>312.57</c:v>
                </c:pt>
                <c:pt idx="60">
                  <c:v>430.17</c:v>
                </c:pt>
                <c:pt idx="61">
                  <c:v>164.37</c:v>
                </c:pt>
                <c:pt idx="62">
                  <c:v>320.85000000000002</c:v>
                </c:pt>
                <c:pt idx="63">
                  <c:v>687.29</c:v>
                </c:pt>
                <c:pt idx="64">
                  <c:v>771.23</c:v>
                </c:pt>
                <c:pt idx="65">
                  <c:v>555.86</c:v>
                </c:pt>
                <c:pt idx="66">
                  <c:v>393.84</c:v>
                </c:pt>
                <c:pt idx="67">
                  <c:v>169.27</c:v>
                </c:pt>
                <c:pt idx="68">
                  <c:v>299.70999999999998</c:v>
                </c:pt>
                <c:pt idx="69">
                  <c:v>207.66</c:v>
                </c:pt>
                <c:pt idx="70">
                  <c:v>183.27</c:v>
                </c:pt>
                <c:pt idx="71">
                  <c:v>405.17</c:v>
                </c:pt>
                <c:pt idx="72">
                  <c:v>677.94</c:v>
                </c:pt>
                <c:pt idx="73">
                  <c:v>866.47</c:v>
                </c:pt>
                <c:pt idx="74">
                  <c:v>341.55</c:v>
                </c:pt>
                <c:pt idx="75">
                  <c:v>873.13</c:v>
                </c:pt>
                <c:pt idx="76">
                  <c:v>997.41</c:v>
                </c:pt>
                <c:pt idx="77">
                  <c:v>852.57</c:v>
                </c:pt>
                <c:pt idx="78">
                  <c:v>323.58999999999997</c:v>
                </c:pt>
                <c:pt idx="79">
                  <c:v>351.5</c:v>
                </c:pt>
                <c:pt idx="80">
                  <c:v>787.78</c:v>
                </c:pt>
                <c:pt idx="81">
                  <c:v>276.77999999999997</c:v>
                </c:pt>
                <c:pt idx="82">
                  <c:v>589.98</c:v>
                </c:pt>
                <c:pt idx="83">
                  <c:v>682.97</c:v>
                </c:pt>
                <c:pt idx="84">
                  <c:v>465.46</c:v>
                </c:pt>
                <c:pt idx="85">
                  <c:v>842.69</c:v>
                </c:pt>
                <c:pt idx="86">
                  <c:v>264.25</c:v>
                </c:pt>
                <c:pt idx="87">
                  <c:v>879.36</c:v>
                </c:pt>
                <c:pt idx="88">
                  <c:v>103.92</c:v>
                </c:pt>
                <c:pt idx="89">
                  <c:v>517.5</c:v>
                </c:pt>
                <c:pt idx="90">
                  <c:v>990.08</c:v>
                </c:pt>
                <c:pt idx="91">
                  <c:v>996.78</c:v>
                </c:pt>
                <c:pt idx="92">
                  <c:v>230.09</c:v>
                </c:pt>
                <c:pt idx="93">
                  <c:v>823.52</c:v>
                </c:pt>
                <c:pt idx="94">
                  <c:v>846.67</c:v>
                </c:pt>
                <c:pt idx="95">
                  <c:v>778.86</c:v>
                </c:pt>
                <c:pt idx="96">
                  <c:v>188.74</c:v>
                </c:pt>
                <c:pt idx="97">
                  <c:v>540.13</c:v>
                </c:pt>
                <c:pt idx="98">
                  <c:v>882.2</c:v>
                </c:pt>
                <c:pt idx="99">
                  <c:v>210.74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AC-4E06-BFC8-C31269416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011328"/>
        <c:axId val="540005752"/>
      </c:scatterChart>
      <c:valAx>
        <c:axId val="5400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05752"/>
        <c:crosses val="autoZero"/>
        <c:crossBetween val="midCat"/>
      </c:valAx>
      <c:valAx>
        <c:axId val="540005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001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Revenue vs. Lead Time by SKU</a:t>
            </a:r>
            <a:endParaRPr lang="en-GB"/>
          </a:p>
        </c:rich>
      </c:tx>
      <c:overlay val="0"/>
      <c:spPr>
        <a:noFill/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supply_chain!$F$1</c:f>
              <c:strCache>
                <c:ptCount val="1"/>
                <c:pt idx="0">
                  <c:v>Revenue generated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supply_chain!$B$2:$B$101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  <c:pt idx="6">
                  <c:v>SKU6</c:v>
                </c:pt>
                <c:pt idx="7">
                  <c:v>SKU7</c:v>
                </c:pt>
                <c:pt idx="8">
                  <c:v>SKU8</c:v>
                </c:pt>
                <c:pt idx="9">
                  <c:v>SKU9</c:v>
                </c:pt>
                <c:pt idx="10">
                  <c:v>SKU10</c:v>
                </c:pt>
                <c:pt idx="11">
                  <c:v>SKU11</c:v>
                </c:pt>
                <c:pt idx="12">
                  <c:v>SKU12</c:v>
                </c:pt>
                <c:pt idx="13">
                  <c:v>SKU13</c:v>
                </c:pt>
                <c:pt idx="14">
                  <c:v>SKU14</c:v>
                </c:pt>
                <c:pt idx="15">
                  <c:v>SKU15</c:v>
                </c:pt>
                <c:pt idx="16">
                  <c:v>SKU16</c:v>
                </c:pt>
                <c:pt idx="17">
                  <c:v>SKU17</c:v>
                </c:pt>
                <c:pt idx="18">
                  <c:v>SKU18</c:v>
                </c:pt>
                <c:pt idx="19">
                  <c:v>SKU19</c:v>
                </c:pt>
                <c:pt idx="20">
                  <c:v>SKU20</c:v>
                </c:pt>
                <c:pt idx="21">
                  <c:v>SKU21</c:v>
                </c:pt>
                <c:pt idx="22">
                  <c:v>SKU22</c:v>
                </c:pt>
                <c:pt idx="23">
                  <c:v>SKU23</c:v>
                </c:pt>
                <c:pt idx="24">
                  <c:v>SKU24</c:v>
                </c:pt>
                <c:pt idx="25">
                  <c:v>SKU25</c:v>
                </c:pt>
                <c:pt idx="26">
                  <c:v>SKU26</c:v>
                </c:pt>
                <c:pt idx="27">
                  <c:v>SKU27</c:v>
                </c:pt>
                <c:pt idx="28">
                  <c:v>SKU28</c:v>
                </c:pt>
                <c:pt idx="29">
                  <c:v>SKU29</c:v>
                </c:pt>
                <c:pt idx="30">
                  <c:v>SKU30</c:v>
                </c:pt>
                <c:pt idx="31">
                  <c:v>SKU31</c:v>
                </c:pt>
                <c:pt idx="32">
                  <c:v>SKU32</c:v>
                </c:pt>
                <c:pt idx="33">
                  <c:v>SKU33</c:v>
                </c:pt>
                <c:pt idx="34">
                  <c:v>SKU34</c:v>
                </c:pt>
                <c:pt idx="35">
                  <c:v>SKU35</c:v>
                </c:pt>
                <c:pt idx="36">
                  <c:v>SKU36</c:v>
                </c:pt>
                <c:pt idx="37">
                  <c:v>SKU37</c:v>
                </c:pt>
                <c:pt idx="38">
                  <c:v>SKU38</c:v>
                </c:pt>
                <c:pt idx="39">
                  <c:v>SKU39</c:v>
                </c:pt>
                <c:pt idx="40">
                  <c:v>SKU40</c:v>
                </c:pt>
                <c:pt idx="41">
                  <c:v>SKU41</c:v>
                </c:pt>
                <c:pt idx="42">
                  <c:v>SKU42</c:v>
                </c:pt>
                <c:pt idx="43">
                  <c:v>SKU43</c:v>
                </c:pt>
                <c:pt idx="44">
                  <c:v>SKU44</c:v>
                </c:pt>
                <c:pt idx="45">
                  <c:v>SKU45</c:v>
                </c:pt>
                <c:pt idx="46">
                  <c:v>SKU46</c:v>
                </c:pt>
                <c:pt idx="47">
                  <c:v>SKU47</c:v>
                </c:pt>
                <c:pt idx="48">
                  <c:v>SKU48</c:v>
                </c:pt>
                <c:pt idx="49">
                  <c:v>SKU49</c:v>
                </c:pt>
                <c:pt idx="50">
                  <c:v>SKU50</c:v>
                </c:pt>
                <c:pt idx="51">
                  <c:v>SKU51</c:v>
                </c:pt>
                <c:pt idx="52">
                  <c:v>SKU52</c:v>
                </c:pt>
                <c:pt idx="53">
                  <c:v>SKU53</c:v>
                </c:pt>
                <c:pt idx="54">
                  <c:v>SKU54</c:v>
                </c:pt>
                <c:pt idx="55">
                  <c:v>SKU55</c:v>
                </c:pt>
                <c:pt idx="56">
                  <c:v>SKU56</c:v>
                </c:pt>
                <c:pt idx="57">
                  <c:v>SKU57</c:v>
                </c:pt>
                <c:pt idx="58">
                  <c:v>SKU58</c:v>
                </c:pt>
                <c:pt idx="59">
                  <c:v>SKU59</c:v>
                </c:pt>
                <c:pt idx="60">
                  <c:v>SKU60</c:v>
                </c:pt>
                <c:pt idx="61">
                  <c:v>SKU61</c:v>
                </c:pt>
                <c:pt idx="62">
                  <c:v>SKU62</c:v>
                </c:pt>
                <c:pt idx="63">
                  <c:v>SKU63</c:v>
                </c:pt>
                <c:pt idx="64">
                  <c:v>SKU64</c:v>
                </c:pt>
                <c:pt idx="65">
                  <c:v>SKU65</c:v>
                </c:pt>
                <c:pt idx="66">
                  <c:v>SKU66</c:v>
                </c:pt>
                <c:pt idx="67">
                  <c:v>SKU67</c:v>
                </c:pt>
                <c:pt idx="68">
                  <c:v>SKU68</c:v>
                </c:pt>
                <c:pt idx="69">
                  <c:v>SKU69</c:v>
                </c:pt>
                <c:pt idx="70">
                  <c:v>SKU70</c:v>
                </c:pt>
                <c:pt idx="71">
                  <c:v>SKU71</c:v>
                </c:pt>
                <c:pt idx="72">
                  <c:v>SKU72</c:v>
                </c:pt>
                <c:pt idx="73">
                  <c:v>SKU73</c:v>
                </c:pt>
                <c:pt idx="74">
                  <c:v>SKU74</c:v>
                </c:pt>
                <c:pt idx="75">
                  <c:v>SKU75</c:v>
                </c:pt>
                <c:pt idx="76">
                  <c:v>SKU76</c:v>
                </c:pt>
                <c:pt idx="77">
                  <c:v>SKU77</c:v>
                </c:pt>
                <c:pt idx="78">
                  <c:v>SKU78</c:v>
                </c:pt>
                <c:pt idx="79">
                  <c:v>SKU79</c:v>
                </c:pt>
                <c:pt idx="80">
                  <c:v>SKU80</c:v>
                </c:pt>
                <c:pt idx="81">
                  <c:v>SKU81</c:v>
                </c:pt>
                <c:pt idx="82">
                  <c:v>SKU82</c:v>
                </c:pt>
                <c:pt idx="83">
                  <c:v>SKU83</c:v>
                </c:pt>
                <c:pt idx="84">
                  <c:v>SKU84</c:v>
                </c:pt>
                <c:pt idx="85">
                  <c:v>SKU85</c:v>
                </c:pt>
                <c:pt idx="86">
                  <c:v>SKU86</c:v>
                </c:pt>
                <c:pt idx="87">
                  <c:v>SKU87</c:v>
                </c:pt>
                <c:pt idx="88">
                  <c:v>SKU88</c:v>
                </c:pt>
                <c:pt idx="89">
                  <c:v>SKU89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xVal>
          <c:yVal>
            <c:numRef>
              <c:f>supply_chain!$F$2:$F$101</c:f>
              <c:numCache>
                <c:formatCode>General</c:formatCode>
                <c:ptCount val="100"/>
                <c:pt idx="0">
                  <c:v>8662</c:v>
                </c:pt>
                <c:pt idx="1">
                  <c:v>7460.9</c:v>
                </c:pt>
                <c:pt idx="2">
                  <c:v>9577.75</c:v>
                </c:pt>
                <c:pt idx="3">
                  <c:v>7766.84</c:v>
                </c:pt>
                <c:pt idx="4">
                  <c:v>2686.51</c:v>
                </c:pt>
                <c:pt idx="5">
                  <c:v>2828.35</c:v>
                </c:pt>
                <c:pt idx="6">
                  <c:v>7823.48</c:v>
                </c:pt>
                <c:pt idx="7">
                  <c:v>8496.1</c:v>
                </c:pt>
                <c:pt idx="8">
                  <c:v>7517.36</c:v>
                </c:pt>
                <c:pt idx="9">
                  <c:v>4971.1499999999996</c:v>
                </c:pt>
                <c:pt idx="10">
                  <c:v>2330.9699999999998</c:v>
                </c:pt>
                <c:pt idx="11">
                  <c:v>6099.94</c:v>
                </c:pt>
                <c:pt idx="12">
                  <c:v>2873.74</c:v>
                </c:pt>
                <c:pt idx="13">
                  <c:v>4052.74</c:v>
                </c:pt>
                <c:pt idx="14">
                  <c:v>8653.57</c:v>
                </c:pt>
                <c:pt idx="15">
                  <c:v>5442.09</c:v>
                </c:pt>
                <c:pt idx="16">
                  <c:v>6453.8</c:v>
                </c:pt>
                <c:pt idx="17">
                  <c:v>2629.4</c:v>
                </c:pt>
                <c:pt idx="18">
                  <c:v>9364.67</c:v>
                </c:pt>
                <c:pt idx="19">
                  <c:v>2553.5</c:v>
                </c:pt>
                <c:pt idx="20">
                  <c:v>8128.03</c:v>
                </c:pt>
                <c:pt idx="21">
                  <c:v>7087.05</c:v>
                </c:pt>
                <c:pt idx="22">
                  <c:v>2390.81</c:v>
                </c:pt>
                <c:pt idx="23">
                  <c:v>8858.3700000000008</c:v>
                </c:pt>
                <c:pt idx="24">
                  <c:v>9049.08</c:v>
                </c:pt>
                <c:pt idx="25">
                  <c:v>2174.7800000000002</c:v>
                </c:pt>
                <c:pt idx="26">
                  <c:v>3716.49</c:v>
                </c:pt>
                <c:pt idx="27">
                  <c:v>2686.46</c:v>
                </c:pt>
                <c:pt idx="28">
                  <c:v>6117.32</c:v>
                </c:pt>
                <c:pt idx="29">
                  <c:v>8318.9</c:v>
                </c:pt>
                <c:pt idx="30">
                  <c:v>2766.34</c:v>
                </c:pt>
                <c:pt idx="31">
                  <c:v>9655.14</c:v>
                </c:pt>
                <c:pt idx="32">
                  <c:v>9571.5499999999993</c:v>
                </c:pt>
                <c:pt idx="33">
                  <c:v>5150</c:v>
                </c:pt>
                <c:pt idx="34">
                  <c:v>9061.7099999999991</c:v>
                </c:pt>
                <c:pt idx="35">
                  <c:v>6541.33</c:v>
                </c:pt>
                <c:pt idx="36">
                  <c:v>7573.4</c:v>
                </c:pt>
                <c:pt idx="37">
                  <c:v>2438.34</c:v>
                </c:pt>
                <c:pt idx="38">
                  <c:v>9692.32</c:v>
                </c:pt>
                <c:pt idx="39">
                  <c:v>1912.47</c:v>
                </c:pt>
                <c:pt idx="40">
                  <c:v>5724.96</c:v>
                </c:pt>
                <c:pt idx="41">
                  <c:v>5521.21</c:v>
                </c:pt>
                <c:pt idx="42">
                  <c:v>1839.61</c:v>
                </c:pt>
                <c:pt idx="43">
                  <c:v>5737.43</c:v>
                </c:pt>
                <c:pt idx="44">
                  <c:v>7152.29</c:v>
                </c:pt>
                <c:pt idx="45">
                  <c:v>5267.96</c:v>
                </c:pt>
                <c:pt idx="46">
                  <c:v>2556.77</c:v>
                </c:pt>
                <c:pt idx="47">
                  <c:v>7089.47</c:v>
                </c:pt>
                <c:pt idx="48">
                  <c:v>7397.07</c:v>
                </c:pt>
                <c:pt idx="49">
                  <c:v>8001.61</c:v>
                </c:pt>
                <c:pt idx="50">
                  <c:v>5910.89</c:v>
                </c:pt>
                <c:pt idx="51">
                  <c:v>9866.4699999999993</c:v>
                </c:pt>
                <c:pt idx="52">
                  <c:v>9435.76</c:v>
                </c:pt>
                <c:pt idx="53">
                  <c:v>8232.33</c:v>
                </c:pt>
                <c:pt idx="54">
                  <c:v>6088.02</c:v>
                </c:pt>
                <c:pt idx="55">
                  <c:v>2925.68</c:v>
                </c:pt>
                <c:pt idx="56">
                  <c:v>4767.0200000000004</c:v>
                </c:pt>
                <c:pt idx="57">
                  <c:v>1605.87</c:v>
                </c:pt>
                <c:pt idx="58">
                  <c:v>2021.15</c:v>
                </c:pt>
                <c:pt idx="59">
                  <c:v>1061.6199999999999</c:v>
                </c:pt>
                <c:pt idx="60">
                  <c:v>8864.08</c:v>
                </c:pt>
                <c:pt idx="61">
                  <c:v>6885.59</c:v>
                </c:pt>
                <c:pt idx="62">
                  <c:v>3899.75</c:v>
                </c:pt>
                <c:pt idx="63">
                  <c:v>4256.95</c:v>
                </c:pt>
                <c:pt idx="64">
                  <c:v>8458.73</c:v>
                </c:pt>
                <c:pt idx="65">
                  <c:v>8354.58</c:v>
                </c:pt>
                <c:pt idx="66">
                  <c:v>8367.7199999999993</c:v>
                </c:pt>
                <c:pt idx="67">
                  <c:v>9473.7999999999993</c:v>
                </c:pt>
                <c:pt idx="68">
                  <c:v>3550.22</c:v>
                </c:pt>
                <c:pt idx="69">
                  <c:v>1752.38</c:v>
                </c:pt>
                <c:pt idx="70">
                  <c:v>7014.89</c:v>
                </c:pt>
                <c:pt idx="71">
                  <c:v>8180.34</c:v>
                </c:pt>
                <c:pt idx="72">
                  <c:v>2633.12</c:v>
                </c:pt>
                <c:pt idx="73">
                  <c:v>7910.89</c:v>
                </c:pt>
                <c:pt idx="74">
                  <c:v>5709.95</c:v>
                </c:pt>
                <c:pt idx="75">
                  <c:v>1889.07</c:v>
                </c:pt>
                <c:pt idx="76">
                  <c:v>5328.38</c:v>
                </c:pt>
                <c:pt idx="77">
                  <c:v>2483.7600000000002</c:v>
                </c:pt>
                <c:pt idx="78">
                  <c:v>1292.46</c:v>
                </c:pt>
                <c:pt idx="79">
                  <c:v>7888.72</c:v>
                </c:pt>
                <c:pt idx="80">
                  <c:v>8651.67</c:v>
                </c:pt>
                <c:pt idx="81">
                  <c:v>4384.41</c:v>
                </c:pt>
                <c:pt idx="82">
                  <c:v>2943.38</c:v>
                </c:pt>
                <c:pt idx="83">
                  <c:v>2411.75</c:v>
                </c:pt>
                <c:pt idx="84">
                  <c:v>2048.29</c:v>
                </c:pt>
                <c:pt idx="85">
                  <c:v>8684.61</c:v>
                </c:pt>
                <c:pt idx="86">
                  <c:v>1229.5899999999999</c:v>
                </c:pt>
                <c:pt idx="87">
                  <c:v>5133.8500000000004</c:v>
                </c:pt>
                <c:pt idx="88">
                  <c:v>9444.74</c:v>
                </c:pt>
                <c:pt idx="89">
                  <c:v>5924.68</c:v>
                </c:pt>
                <c:pt idx="90">
                  <c:v>9592.6299999999992</c:v>
                </c:pt>
                <c:pt idx="91">
                  <c:v>1935.21</c:v>
                </c:pt>
                <c:pt idx="92">
                  <c:v>2100.13</c:v>
                </c:pt>
                <c:pt idx="93">
                  <c:v>4531.3999999999996</c:v>
                </c:pt>
                <c:pt idx="94">
                  <c:v>7888.36</c:v>
                </c:pt>
                <c:pt idx="95">
                  <c:v>7386.36</c:v>
                </c:pt>
                <c:pt idx="96">
                  <c:v>7698.42</c:v>
                </c:pt>
                <c:pt idx="97">
                  <c:v>4370.92</c:v>
                </c:pt>
                <c:pt idx="98">
                  <c:v>8525.9500000000007</c:v>
                </c:pt>
                <c:pt idx="99">
                  <c:v>9185.19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40-4D7A-AB51-4502DC903467}"/>
            </c:ext>
          </c:extLst>
        </c:ser>
        <c:ser>
          <c:idx val="1"/>
          <c:order val="1"/>
          <c:tx>
            <c:strRef>
              <c:f>supply_chain!$I$1</c:f>
              <c:strCache>
                <c:ptCount val="1"/>
                <c:pt idx="0">
                  <c:v>Lead times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supply_chain!$B$2:$B$101</c:f>
              <c:strCache>
                <c:ptCount val="100"/>
                <c:pt idx="0">
                  <c:v>SKU0</c:v>
                </c:pt>
                <c:pt idx="1">
                  <c:v>SKU1</c:v>
                </c:pt>
                <c:pt idx="2">
                  <c:v>SKU2</c:v>
                </c:pt>
                <c:pt idx="3">
                  <c:v>SKU3</c:v>
                </c:pt>
                <c:pt idx="4">
                  <c:v>SKU4</c:v>
                </c:pt>
                <c:pt idx="5">
                  <c:v>SKU5</c:v>
                </c:pt>
                <c:pt idx="6">
                  <c:v>SKU6</c:v>
                </c:pt>
                <c:pt idx="7">
                  <c:v>SKU7</c:v>
                </c:pt>
                <c:pt idx="8">
                  <c:v>SKU8</c:v>
                </c:pt>
                <c:pt idx="9">
                  <c:v>SKU9</c:v>
                </c:pt>
                <c:pt idx="10">
                  <c:v>SKU10</c:v>
                </c:pt>
                <c:pt idx="11">
                  <c:v>SKU11</c:v>
                </c:pt>
                <c:pt idx="12">
                  <c:v>SKU12</c:v>
                </c:pt>
                <c:pt idx="13">
                  <c:v>SKU13</c:v>
                </c:pt>
                <c:pt idx="14">
                  <c:v>SKU14</c:v>
                </c:pt>
                <c:pt idx="15">
                  <c:v>SKU15</c:v>
                </c:pt>
                <c:pt idx="16">
                  <c:v>SKU16</c:v>
                </c:pt>
                <c:pt idx="17">
                  <c:v>SKU17</c:v>
                </c:pt>
                <c:pt idx="18">
                  <c:v>SKU18</c:v>
                </c:pt>
                <c:pt idx="19">
                  <c:v>SKU19</c:v>
                </c:pt>
                <c:pt idx="20">
                  <c:v>SKU20</c:v>
                </c:pt>
                <c:pt idx="21">
                  <c:v>SKU21</c:v>
                </c:pt>
                <c:pt idx="22">
                  <c:v>SKU22</c:v>
                </c:pt>
                <c:pt idx="23">
                  <c:v>SKU23</c:v>
                </c:pt>
                <c:pt idx="24">
                  <c:v>SKU24</c:v>
                </c:pt>
                <c:pt idx="25">
                  <c:v>SKU25</c:v>
                </c:pt>
                <c:pt idx="26">
                  <c:v>SKU26</c:v>
                </c:pt>
                <c:pt idx="27">
                  <c:v>SKU27</c:v>
                </c:pt>
                <c:pt idx="28">
                  <c:v>SKU28</c:v>
                </c:pt>
                <c:pt idx="29">
                  <c:v>SKU29</c:v>
                </c:pt>
                <c:pt idx="30">
                  <c:v>SKU30</c:v>
                </c:pt>
                <c:pt idx="31">
                  <c:v>SKU31</c:v>
                </c:pt>
                <c:pt idx="32">
                  <c:v>SKU32</c:v>
                </c:pt>
                <c:pt idx="33">
                  <c:v>SKU33</c:v>
                </c:pt>
                <c:pt idx="34">
                  <c:v>SKU34</c:v>
                </c:pt>
                <c:pt idx="35">
                  <c:v>SKU35</c:v>
                </c:pt>
                <c:pt idx="36">
                  <c:v>SKU36</c:v>
                </c:pt>
                <c:pt idx="37">
                  <c:v>SKU37</c:v>
                </c:pt>
                <c:pt idx="38">
                  <c:v>SKU38</c:v>
                </c:pt>
                <c:pt idx="39">
                  <c:v>SKU39</c:v>
                </c:pt>
                <c:pt idx="40">
                  <c:v>SKU40</c:v>
                </c:pt>
                <c:pt idx="41">
                  <c:v>SKU41</c:v>
                </c:pt>
                <c:pt idx="42">
                  <c:v>SKU42</c:v>
                </c:pt>
                <c:pt idx="43">
                  <c:v>SKU43</c:v>
                </c:pt>
                <c:pt idx="44">
                  <c:v>SKU44</c:v>
                </c:pt>
                <c:pt idx="45">
                  <c:v>SKU45</c:v>
                </c:pt>
                <c:pt idx="46">
                  <c:v>SKU46</c:v>
                </c:pt>
                <c:pt idx="47">
                  <c:v>SKU47</c:v>
                </c:pt>
                <c:pt idx="48">
                  <c:v>SKU48</c:v>
                </c:pt>
                <c:pt idx="49">
                  <c:v>SKU49</c:v>
                </c:pt>
                <c:pt idx="50">
                  <c:v>SKU50</c:v>
                </c:pt>
                <c:pt idx="51">
                  <c:v>SKU51</c:v>
                </c:pt>
                <c:pt idx="52">
                  <c:v>SKU52</c:v>
                </c:pt>
                <c:pt idx="53">
                  <c:v>SKU53</c:v>
                </c:pt>
                <c:pt idx="54">
                  <c:v>SKU54</c:v>
                </c:pt>
                <c:pt idx="55">
                  <c:v>SKU55</c:v>
                </c:pt>
                <c:pt idx="56">
                  <c:v>SKU56</c:v>
                </c:pt>
                <c:pt idx="57">
                  <c:v>SKU57</c:v>
                </c:pt>
                <c:pt idx="58">
                  <c:v>SKU58</c:v>
                </c:pt>
                <c:pt idx="59">
                  <c:v>SKU59</c:v>
                </c:pt>
                <c:pt idx="60">
                  <c:v>SKU60</c:v>
                </c:pt>
                <c:pt idx="61">
                  <c:v>SKU61</c:v>
                </c:pt>
                <c:pt idx="62">
                  <c:v>SKU62</c:v>
                </c:pt>
                <c:pt idx="63">
                  <c:v>SKU63</c:v>
                </c:pt>
                <c:pt idx="64">
                  <c:v>SKU64</c:v>
                </c:pt>
                <c:pt idx="65">
                  <c:v>SKU65</c:v>
                </c:pt>
                <c:pt idx="66">
                  <c:v>SKU66</c:v>
                </c:pt>
                <c:pt idx="67">
                  <c:v>SKU67</c:v>
                </c:pt>
                <c:pt idx="68">
                  <c:v>SKU68</c:v>
                </c:pt>
                <c:pt idx="69">
                  <c:v>SKU69</c:v>
                </c:pt>
                <c:pt idx="70">
                  <c:v>SKU70</c:v>
                </c:pt>
                <c:pt idx="71">
                  <c:v>SKU71</c:v>
                </c:pt>
                <c:pt idx="72">
                  <c:v>SKU72</c:v>
                </c:pt>
                <c:pt idx="73">
                  <c:v>SKU73</c:v>
                </c:pt>
                <c:pt idx="74">
                  <c:v>SKU74</c:v>
                </c:pt>
                <c:pt idx="75">
                  <c:v>SKU75</c:v>
                </c:pt>
                <c:pt idx="76">
                  <c:v>SKU76</c:v>
                </c:pt>
                <c:pt idx="77">
                  <c:v>SKU77</c:v>
                </c:pt>
                <c:pt idx="78">
                  <c:v>SKU78</c:v>
                </c:pt>
                <c:pt idx="79">
                  <c:v>SKU79</c:v>
                </c:pt>
                <c:pt idx="80">
                  <c:v>SKU80</c:v>
                </c:pt>
                <c:pt idx="81">
                  <c:v>SKU81</c:v>
                </c:pt>
                <c:pt idx="82">
                  <c:v>SKU82</c:v>
                </c:pt>
                <c:pt idx="83">
                  <c:v>SKU83</c:v>
                </c:pt>
                <c:pt idx="84">
                  <c:v>SKU84</c:v>
                </c:pt>
                <c:pt idx="85">
                  <c:v>SKU85</c:v>
                </c:pt>
                <c:pt idx="86">
                  <c:v>SKU86</c:v>
                </c:pt>
                <c:pt idx="87">
                  <c:v>SKU87</c:v>
                </c:pt>
                <c:pt idx="88">
                  <c:v>SKU88</c:v>
                </c:pt>
                <c:pt idx="89">
                  <c:v>SKU89</c:v>
                </c:pt>
                <c:pt idx="90">
                  <c:v>SKU90</c:v>
                </c:pt>
                <c:pt idx="91">
                  <c:v>SKU91</c:v>
                </c:pt>
                <c:pt idx="92">
                  <c:v>SKU92</c:v>
                </c:pt>
                <c:pt idx="93">
                  <c:v>SKU93</c:v>
                </c:pt>
                <c:pt idx="94">
                  <c:v>SKU94</c:v>
                </c:pt>
                <c:pt idx="95">
                  <c:v>SKU95</c:v>
                </c:pt>
                <c:pt idx="96">
                  <c:v>SKU96</c:v>
                </c:pt>
                <c:pt idx="97">
                  <c:v>SKU97</c:v>
                </c:pt>
                <c:pt idx="98">
                  <c:v>SKU98</c:v>
                </c:pt>
                <c:pt idx="99">
                  <c:v>SKU99</c:v>
                </c:pt>
              </c:strCache>
            </c:strRef>
          </c:xVal>
          <c:yVal>
            <c:numRef>
              <c:f>supply_chain!$I$2:$I$101</c:f>
              <c:numCache>
                <c:formatCode>General</c:formatCode>
                <c:ptCount val="100"/>
                <c:pt idx="0">
                  <c:v>7</c:v>
                </c:pt>
                <c:pt idx="1">
                  <c:v>30</c:v>
                </c:pt>
                <c:pt idx="2">
                  <c:v>10</c:v>
                </c:pt>
                <c:pt idx="3">
                  <c:v>13</c:v>
                </c:pt>
                <c:pt idx="4">
                  <c:v>3</c:v>
                </c:pt>
                <c:pt idx="5">
                  <c:v>27</c:v>
                </c:pt>
                <c:pt idx="6">
                  <c:v>15</c:v>
                </c:pt>
                <c:pt idx="7">
                  <c:v>17</c:v>
                </c:pt>
                <c:pt idx="8">
                  <c:v>10</c:v>
                </c:pt>
                <c:pt idx="9">
                  <c:v>27</c:v>
                </c:pt>
                <c:pt idx="10">
                  <c:v>13</c:v>
                </c:pt>
                <c:pt idx="11">
                  <c:v>23</c:v>
                </c:pt>
                <c:pt idx="12">
                  <c:v>30</c:v>
                </c:pt>
                <c:pt idx="13">
                  <c:v>8</c:v>
                </c:pt>
                <c:pt idx="14">
                  <c:v>29</c:v>
                </c:pt>
                <c:pt idx="15">
                  <c:v>8</c:v>
                </c:pt>
                <c:pt idx="16">
                  <c:v>5</c:v>
                </c:pt>
                <c:pt idx="17">
                  <c:v>17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25</c:v>
                </c:pt>
                <c:pt idx="22">
                  <c:v>1</c:v>
                </c:pt>
                <c:pt idx="23">
                  <c:v>5</c:v>
                </c:pt>
                <c:pt idx="24">
                  <c:v>26</c:v>
                </c:pt>
                <c:pt idx="25">
                  <c:v>11</c:v>
                </c:pt>
                <c:pt idx="26">
                  <c:v>16</c:v>
                </c:pt>
                <c:pt idx="27">
                  <c:v>9</c:v>
                </c:pt>
                <c:pt idx="28">
                  <c:v>15</c:v>
                </c:pt>
                <c:pt idx="29">
                  <c:v>5</c:v>
                </c:pt>
                <c:pt idx="30">
                  <c:v>26</c:v>
                </c:pt>
                <c:pt idx="31">
                  <c:v>17</c:v>
                </c:pt>
                <c:pt idx="32">
                  <c:v>13</c:v>
                </c:pt>
                <c:pt idx="33">
                  <c:v>17</c:v>
                </c:pt>
                <c:pt idx="34">
                  <c:v>26</c:v>
                </c:pt>
                <c:pt idx="35">
                  <c:v>27</c:v>
                </c:pt>
                <c:pt idx="36">
                  <c:v>23</c:v>
                </c:pt>
                <c:pt idx="37">
                  <c:v>8</c:v>
                </c:pt>
                <c:pt idx="38">
                  <c:v>1</c:v>
                </c:pt>
                <c:pt idx="39">
                  <c:v>29</c:v>
                </c:pt>
                <c:pt idx="40">
                  <c:v>20</c:v>
                </c:pt>
                <c:pt idx="41">
                  <c:v>19</c:v>
                </c:pt>
                <c:pt idx="42">
                  <c:v>27</c:v>
                </c:pt>
                <c:pt idx="43">
                  <c:v>29</c:v>
                </c:pt>
                <c:pt idx="44">
                  <c:v>19</c:v>
                </c:pt>
                <c:pt idx="45">
                  <c:v>7</c:v>
                </c:pt>
                <c:pt idx="46">
                  <c:v>29</c:v>
                </c:pt>
                <c:pt idx="47">
                  <c:v>15</c:v>
                </c:pt>
                <c:pt idx="48">
                  <c:v>16</c:v>
                </c:pt>
                <c:pt idx="49">
                  <c:v>24</c:v>
                </c:pt>
                <c:pt idx="50">
                  <c:v>23</c:v>
                </c:pt>
                <c:pt idx="51">
                  <c:v>4</c:v>
                </c:pt>
                <c:pt idx="52">
                  <c:v>11</c:v>
                </c:pt>
                <c:pt idx="53">
                  <c:v>25</c:v>
                </c:pt>
                <c:pt idx="54">
                  <c:v>22</c:v>
                </c:pt>
                <c:pt idx="55">
                  <c:v>11</c:v>
                </c:pt>
                <c:pt idx="56">
                  <c:v>23</c:v>
                </c:pt>
                <c:pt idx="57">
                  <c:v>18</c:v>
                </c:pt>
                <c:pt idx="58">
                  <c:v>5</c:v>
                </c:pt>
                <c:pt idx="59">
                  <c:v>16</c:v>
                </c:pt>
                <c:pt idx="60">
                  <c:v>27</c:v>
                </c:pt>
                <c:pt idx="61">
                  <c:v>23</c:v>
                </c:pt>
                <c:pt idx="62">
                  <c:v>2</c:v>
                </c:pt>
                <c:pt idx="63">
                  <c:v>19</c:v>
                </c:pt>
                <c:pt idx="64">
                  <c:v>27</c:v>
                </c:pt>
                <c:pt idx="65">
                  <c:v>24</c:v>
                </c:pt>
                <c:pt idx="66">
                  <c:v>17</c:v>
                </c:pt>
                <c:pt idx="67">
                  <c:v>9</c:v>
                </c:pt>
                <c:pt idx="68">
                  <c:v>8</c:v>
                </c:pt>
                <c:pt idx="69">
                  <c:v>1</c:v>
                </c:pt>
                <c:pt idx="70">
                  <c:v>12</c:v>
                </c:pt>
                <c:pt idx="71">
                  <c:v>2</c:v>
                </c:pt>
                <c:pt idx="72">
                  <c:v>29</c:v>
                </c:pt>
                <c:pt idx="73">
                  <c:v>25</c:v>
                </c:pt>
                <c:pt idx="74">
                  <c:v>6</c:v>
                </c:pt>
                <c:pt idx="75">
                  <c:v>20</c:v>
                </c:pt>
                <c:pt idx="76">
                  <c:v>1</c:v>
                </c:pt>
                <c:pt idx="77">
                  <c:v>28</c:v>
                </c:pt>
                <c:pt idx="78">
                  <c:v>4</c:v>
                </c:pt>
                <c:pt idx="79">
                  <c:v>25</c:v>
                </c:pt>
                <c:pt idx="80">
                  <c:v>14</c:v>
                </c:pt>
                <c:pt idx="81">
                  <c:v>6</c:v>
                </c:pt>
                <c:pt idx="82">
                  <c:v>19</c:v>
                </c:pt>
                <c:pt idx="83">
                  <c:v>24</c:v>
                </c:pt>
                <c:pt idx="84">
                  <c:v>26</c:v>
                </c:pt>
                <c:pt idx="85">
                  <c:v>18</c:v>
                </c:pt>
                <c:pt idx="86">
                  <c:v>14</c:v>
                </c:pt>
                <c:pt idx="87">
                  <c:v>7</c:v>
                </c:pt>
                <c:pt idx="88">
                  <c:v>18</c:v>
                </c:pt>
                <c:pt idx="89">
                  <c:v>1</c:v>
                </c:pt>
                <c:pt idx="90">
                  <c:v>18</c:v>
                </c:pt>
                <c:pt idx="91">
                  <c:v>22</c:v>
                </c:pt>
                <c:pt idx="92">
                  <c:v>25</c:v>
                </c:pt>
                <c:pt idx="93">
                  <c:v>17</c:v>
                </c:pt>
                <c:pt idx="94">
                  <c:v>26</c:v>
                </c:pt>
                <c:pt idx="95">
                  <c:v>14</c:v>
                </c:pt>
                <c:pt idx="96">
                  <c:v>2</c:v>
                </c:pt>
                <c:pt idx="97">
                  <c:v>19</c:v>
                </c:pt>
                <c:pt idx="98">
                  <c:v>1</c:v>
                </c:pt>
                <c:pt idx="9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40-4D7A-AB51-4502DC903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584896"/>
        <c:axId val="546593096"/>
      </c:scatterChart>
      <c:valAx>
        <c:axId val="546584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93096"/>
        <c:crosses val="autoZero"/>
        <c:crossBetween val="midCat"/>
      </c:valAx>
      <c:valAx>
        <c:axId val="54659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54658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hyperlink" Target="#'Cost, Quality &amp; Risk Analysis '!A1"/><Relationship Id="rId13" Type="http://schemas.openxmlformats.org/officeDocument/2006/relationships/image" Target="../media/image4.png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hyperlink" Target="#'Supplier &amp; manufacturing perfor'!A1"/><Relationship Id="rId17" Type="http://schemas.openxmlformats.org/officeDocument/2006/relationships/image" Target="../media/image6.png"/><Relationship Id="rId2" Type="http://schemas.openxmlformats.org/officeDocument/2006/relationships/chart" Target="../charts/chart19.xml"/><Relationship Id="rId16" Type="http://schemas.openxmlformats.org/officeDocument/2006/relationships/hyperlink" Target="#'Sales &amp; Revenue Performance'!A1"/><Relationship Id="rId1" Type="http://schemas.openxmlformats.org/officeDocument/2006/relationships/image" Target="../media/image1.png"/><Relationship Id="rId6" Type="http://schemas.openxmlformats.org/officeDocument/2006/relationships/chart" Target="../charts/chart23.xml"/><Relationship Id="rId11" Type="http://schemas.openxmlformats.org/officeDocument/2006/relationships/image" Target="../media/image3.png"/><Relationship Id="rId5" Type="http://schemas.openxmlformats.org/officeDocument/2006/relationships/chart" Target="../charts/chart22.xml"/><Relationship Id="rId15" Type="http://schemas.openxmlformats.org/officeDocument/2006/relationships/image" Target="../media/image5.png"/><Relationship Id="rId10" Type="http://schemas.openxmlformats.org/officeDocument/2006/relationships/hyperlink" Target="#'Logistic &amp; Transportation'!A1"/><Relationship Id="rId4" Type="http://schemas.openxmlformats.org/officeDocument/2006/relationships/chart" Target="../charts/chart21.xml"/><Relationship Id="rId9" Type="http://schemas.openxmlformats.org/officeDocument/2006/relationships/image" Target="../media/image2.png"/><Relationship Id="rId14" Type="http://schemas.openxmlformats.org/officeDocument/2006/relationships/hyperlink" Target="#'Inventory &amp; Demand Efficiency'!A1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Cost, Quality &amp; Risk Analysis '!A1"/><Relationship Id="rId7" Type="http://schemas.openxmlformats.org/officeDocument/2006/relationships/hyperlink" Target="#'Supplier &amp; manufacturing perfor'!A1"/><Relationship Id="rId12" Type="http://schemas.openxmlformats.org/officeDocument/2006/relationships/image" Target="../media/image6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image" Target="../media/image3.png"/><Relationship Id="rId11" Type="http://schemas.openxmlformats.org/officeDocument/2006/relationships/hyperlink" Target="#'Sales &amp; Revenue Performance'!A1"/><Relationship Id="rId5" Type="http://schemas.openxmlformats.org/officeDocument/2006/relationships/hyperlink" Target="#'Logistic &amp; Transportation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'Inventory &amp; Demand Efficiency'!A1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hyperlink" Target="#'Supplier &amp; manufacturing perfor'!A1"/><Relationship Id="rId13" Type="http://schemas.openxmlformats.org/officeDocument/2006/relationships/image" Target="../media/image6.png"/><Relationship Id="rId3" Type="http://schemas.openxmlformats.org/officeDocument/2006/relationships/chart" Target="../charts/chart29.xml"/><Relationship Id="rId7" Type="http://schemas.openxmlformats.org/officeDocument/2006/relationships/image" Target="../media/image3.png"/><Relationship Id="rId12" Type="http://schemas.openxmlformats.org/officeDocument/2006/relationships/hyperlink" Target="#'Sales &amp; Revenue Performance'!A1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6" Type="http://schemas.openxmlformats.org/officeDocument/2006/relationships/hyperlink" Target="#'Logistic &amp; Transportation'!A1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#'Inventory &amp; Demand Efficiency'!A1"/><Relationship Id="rId4" Type="http://schemas.openxmlformats.org/officeDocument/2006/relationships/hyperlink" Target="#'Cost, Quality &amp; Risk Analysis '!A1"/><Relationship Id="rId9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hyperlink" Target="#'Sales &amp; Revenue Performance'!A1"/><Relationship Id="rId3" Type="http://schemas.openxmlformats.org/officeDocument/2006/relationships/chart" Target="../charts/chart32.xml"/><Relationship Id="rId7" Type="http://schemas.openxmlformats.org/officeDocument/2006/relationships/hyperlink" Target="#'Logistic &amp; Transportation'!A1"/><Relationship Id="rId12" Type="http://schemas.openxmlformats.org/officeDocument/2006/relationships/image" Target="../media/image5.png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image" Target="../media/image2.png"/><Relationship Id="rId11" Type="http://schemas.openxmlformats.org/officeDocument/2006/relationships/hyperlink" Target="#'Inventory &amp; Demand Efficiency'!A1"/><Relationship Id="rId5" Type="http://schemas.openxmlformats.org/officeDocument/2006/relationships/hyperlink" Target="#'Cost, Quality &amp; Risk Analysis '!A1"/><Relationship Id="rId10" Type="http://schemas.openxmlformats.org/officeDocument/2006/relationships/image" Target="../media/image4.png"/><Relationship Id="rId4" Type="http://schemas.openxmlformats.org/officeDocument/2006/relationships/chart" Target="../charts/chart33.xml"/><Relationship Id="rId9" Type="http://schemas.openxmlformats.org/officeDocument/2006/relationships/hyperlink" Target="#'Supplier &amp; manufacturing perfor'!A1"/><Relationship Id="rId14" Type="http://schemas.openxmlformats.org/officeDocument/2006/relationships/image" Target="../media/image6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hyperlink" Target="#'Supplier &amp; manufacturing perfor'!A1"/><Relationship Id="rId13" Type="http://schemas.openxmlformats.org/officeDocument/2006/relationships/image" Target="../media/image6.png"/><Relationship Id="rId3" Type="http://schemas.openxmlformats.org/officeDocument/2006/relationships/chart" Target="../charts/chart36.xml"/><Relationship Id="rId7" Type="http://schemas.openxmlformats.org/officeDocument/2006/relationships/image" Target="../media/image3.png"/><Relationship Id="rId12" Type="http://schemas.openxmlformats.org/officeDocument/2006/relationships/hyperlink" Target="#'Sales &amp; Revenue Performance'!A1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hyperlink" Target="#'Logistic &amp; Transportation'!A1"/><Relationship Id="rId11" Type="http://schemas.openxmlformats.org/officeDocument/2006/relationships/image" Target="../media/image5.png"/><Relationship Id="rId5" Type="http://schemas.openxmlformats.org/officeDocument/2006/relationships/image" Target="../media/image2.png"/><Relationship Id="rId10" Type="http://schemas.openxmlformats.org/officeDocument/2006/relationships/hyperlink" Target="#'Inventory &amp; Demand Efficiency'!A1"/><Relationship Id="rId4" Type="http://schemas.openxmlformats.org/officeDocument/2006/relationships/hyperlink" Target="#'Cost, Quality &amp; Risk Analysis '!A1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623887</xdr:colOff>
      <xdr:row>3</xdr:row>
      <xdr:rowOff>123825</xdr:rowOff>
    </xdr:from>
    <xdr:to>
      <xdr:col>7</xdr:col>
      <xdr:colOff>390525</xdr:colOff>
      <xdr:row>14</xdr:row>
      <xdr:rowOff>47625</xdr:rowOff>
    </xdr:to>
    <xdr:graphicFrame macro="">
      <xdr:nvGraphicFramePr>
        <xdr:cNvPr id="2" name="Revenue Distribution by Product Type">
          <a:extLst>
            <a:ext uri="{FF2B5EF4-FFF2-40B4-BE49-F238E27FC236}">
              <a16:creationId xmlns:a16="http://schemas.microsoft.com/office/drawing/2014/main" id="{2F9160AE-3F55-4744-BF64-4FA417C3E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490537</xdr:colOff>
      <xdr:row>4</xdr:row>
      <xdr:rowOff>9525</xdr:rowOff>
    </xdr:from>
    <xdr:to>
      <xdr:col>8</xdr:col>
      <xdr:colOff>276225</xdr:colOff>
      <xdr:row>16</xdr:row>
      <xdr:rowOff>95250</xdr:rowOff>
    </xdr:to>
    <xdr:graphicFrame macro="">
      <xdr:nvGraphicFramePr>
        <xdr:cNvPr id="2" name="Sales Volume by SKU">
          <a:extLst>
            <a:ext uri="{FF2B5EF4-FFF2-40B4-BE49-F238E27FC236}">
              <a16:creationId xmlns:a16="http://schemas.microsoft.com/office/drawing/2014/main" id="{A1F8BDBC-B56A-47C2-8108-A07E58A5D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552449</xdr:colOff>
      <xdr:row>4</xdr:row>
      <xdr:rowOff>38100</xdr:rowOff>
    </xdr:from>
    <xdr:to>
      <xdr:col>4</xdr:col>
      <xdr:colOff>1209674</xdr:colOff>
      <xdr:row>16</xdr:row>
      <xdr:rowOff>28575</xdr:rowOff>
    </xdr:to>
    <xdr:graphicFrame macro="">
      <xdr:nvGraphicFramePr>
        <xdr:cNvPr id="2" name="Average Price by Product Type">
          <a:extLst>
            <a:ext uri="{FF2B5EF4-FFF2-40B4-BE49-F238E27FC236}">
              <a16:creationId xmlns:a16="http://schemas.microsoft.com/office/drawing/2014/main" id="{CDE47BBD-3EDE-4E6C-8FE3-E0F07052D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</xdr:row>
      <xdr:rowOff>38100</xdr:rowOff>
    </xdr:from>
    <xdr:to>
      <xdr:col>7</xdr:col>
      <xdr:colOff>504825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A9B02-10E2-4E7D-B10F-D116939CE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1281113</xdr:colOff>
      <xdr:row>4</xdr:row>
      <xdr:rowOff>57150</xdr:rowOff>
    </xdr:from>
    <xdr:to>
      <xdr:col>5</xdr:col>
      <xdr:colOff>304801</xdr:colOff>
      <xdr:row>16</xdr:row>
      <xdr:rowOff>85725</xdr:rowOff>
    </xdr:to>
    <xdr:graphicFrame macro="">
      <xdr:nvGraphicFramePr>
        <xdr:cNvPr id="2" name="Products Sold by Customer Demographics and Product Type">
          <a:extLst>
            <a:ext uri="{FF2B5EF4-FFF2-40B4-BE49-F238E27FC236}">
              <a16:creationId xmlns:a16="http://schemas.microsoft.com/office/drawing/2014/main" id="{118A824C-D008-4F29-8954-A0A23F559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1309687</xdr:colOff>
      <xdr:row>4</xdr:row>
      <xdr:rowOff>57150</xdr:rowOff>
    </xdr:from>
    <xdr:to>
      <xdr:col>5</xdr:col>
      <xdr:colOff>409575</xdr:colOff>
      <xdr:row>16</xdr:row>
      <xdr:rowOff>57150</xdr:rowOff>
    </xdr:to>
    <xdr:graphicFrame macro="">
      <xdr:nvGraphicFramePr>
        <xdr:cNvPr id="2" name="Inventory Turnover Analysis by SKU">
          <a:extLst>
            <a:ext uri="{FF2B5EF4-FFF2-40B4-BE49-F238E27FC236}">
              <a16:creationId xmlns:a16="http://schemas.microsoft.com/office/drawing/2014/main" id="{CB84FF6C-365A-46A2-8407-F7C98ED41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1309687</xdr:colOff>
      <xdr:row>4</xdr:row>
      <xdr:rowOff>57150</xdr:rowOff>
    </xdr:from>
    <xdr:to>
      <xdr:col>6</xdr:col>
      <xdr:colOff>628650</xdr:colOff>
      <xdr:row>16</xdr:row>
      <xdr:rowOff>66675</xdr:rowOff>
    </xdr:to>
    <xdr:graphicFrame macro="">
      <xdr:nvGraphicFramePr>
        <xdr:cNvPr id="2" name="Stock Levels by SKU">
          <a:extLst>
            <a:ext uri="{FF2B5EF4-FFF2-40B4-BE49-F238E27FC236}">
              <a16:creationId xmlns:a16="http://schemas.microsoft.com/office/drawing/2014/main" id="{25E61428-4DD8-4D9B-8DD6-26A660E15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4</xdr:row>
      <xdr:rowOff>57150</xdr:rowOff>
    </xdr:from>
    <xdr:to>
      <xdr:col>4</xdr:col>
      <xdr:colOff>285750</xdr:colOff>
      <xdr:row>17</xdr:row>
      <xdr:rowOff>76200</xdr:rowOff>
    </xdr:to>
    <xdr:graphicFrame macro="">
      <xdr:nvGraphicFramePr>
        <xdr:cNvPr id="2" name="Revenue Distribution by Customer Demographics">
          <a:extLst>
            <a:ext uri="{FF2B5EF4-FFF2-40B4-BE49-F238E27FC236}">
              <a16:creationId xmlns:a16="http://schemas.microsoft.com/office/drawing/2014/main" id="{911884AA-20AF-4429-A194-6549E2422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1309687</xdr:colOff>
      <xdr:row>4</xdr:row>
      <xdr:rowOff>57150</xdr:rowOff>
    </xdr:from>
    <xdr:to>
      <xdr:col>8</xdr:col>
      <xdr:colOff>252412</xdr:colOff>
      <xdr:row>19</xdr:row>
      <xdr:rowOff>85725</xdr:rowOff>
    </xdr:to>
    <xdr:graphicFrame macro="">
      <xdr:nvGraphicFramePr>
        <xdr:cNvPr id="3" name="Average Lead Time by Supplier">
          <a:extLst>
            <a:ext uri="{FF2B5EF4-FFF2-40B4-BE49-F238E27FC236}">
              <a16:creationId xmlns:a16="http://schemas.microsoft.com/office/drawing/2014/main" id="{0E07AD57-9BED-4086-9C48-A5CE43F89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4</xdr:row>
      <xdr:rowOff>57150</xdr:rowOff>
    </xdr:from>
    <xdr:to>
      <xdr:col>5</xdr:col>
      <xdr:colOff>504825</xdr:colOff>
      <xdr:row>19</xdr:row>
      <xdr:rowOff>85725</xdr:rowOff>
    </xdr:to>
    <xdr:graphicFrame macro="">
      <xdr:nvGraphicFramePr>
        <xdr:cNvPr id="2" name="Production Volume by Supplier">
          <a:extLst>
            <a:ext uri="{FF2B5EF4-FFF2-40B4-BE49-F238E27FC236}">
              <a16:creationId xmlns:a16="http://schemas.microsoft.com/office/drawing/2014/main" id="{2BDD49F1-EF27-4298-8623-CFF85D76D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376237</xdr:colOff>
      <xdr:row>3</xdr:row>
      <xdr:rowOff>100012</xdr:rowOff>
    </xdr:from>
    <xdr:to>
      <xdr:col>5</xdr:col>
      <xdr:colOff>500062</xdr:colOff>
      <xdr:row>18</xdr:row>
      <xdr:rowOff>128587</xdr:rowOff>
    </xdr:to>
    <xdr:graphicFrame macro="">
      <xdr:nvGraphicFramePr>
        <xdr:cNvPr id="2" name="Costs by SKU">
          <a:extLst>
            <a:ext uri="{FF2B5EF4-FFF2-40B4-BE49-F238E27FC236}">
              <a16:creationId xmlns:a16="http://schemas.microsoft.com/office/drawing/2014/main" id="{77EEBAB0-279F-4371-A4C4-02EB637B9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1309687</xdr:colOff>
      <xdr:row>4</xdr:row>
      <xdr:rowOff>57150</xdr:rowOff>
    </xdr:from>
    <xdr:to>
      <xdr:col>7</xdr:col>
      <xdr:colOff>585787</xdr:colOff>
      <xdr:row>19</xdr:row>
      <xdr:rowOff>85725</xdr:rowOff>
    </xdr:to>
    <xdr:graphicFrame macro="">
      <xdr:nvGraphicFramePr>
        <xdr:cNvPr id="2" name="Shipping Costs per Transportation Mode">
          <a:extLst>
            <a:ext uri="{FF2B5EF4-FFF2-40B4-BE49-F238E27FC236}">
              <a16:creationId xmlns:a16="http://schemas.microsoft.com/office/drawing/2014/main" id="{532CBB1C-5ED4-4F3C-86BF-E7ECA5E771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4</xdr:row>
      <xdr:rowOff>57150</xdr:rowOff>
    </xdr:from>
    <xdr:to>
      <xdr:col>6</xdr:col>
      <xdr:colOff>190500</xdr:colOff>
      <xdr:row>19</xdr:row>
      <xdr:rowOff>85725</xdr:rowOff>
    </xdr:to>
    <xdr:graphicFrame macro="">
      <xdr:nvGraphicFramePr>
        <xdr:cNvPr id="2" name="Impact of Route on Shipping Times">
          <a:extLst>
            <a:ext uri="{FF2B5EF4-FFF2-40B4-BE49-F238E27FC236}">
              <a16:creationId xmlns:a16="http://schemas.microsoft.com/office/drawing/2014/main" id="{E9FC4411-A26F-47CD-B9E4-B76AD06D82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952500</xdr:colOff>
      <xdr:row>4</xdr:row>
      <xdr:rowOff>57150</xdr:rowOff>
    </xdr:from>
    <xdr:to>
      <xdr:col>3</xdr:col>
      <xdr:colOff>419100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7AA2D-8E9A-466C-8C15-5C6DE55E6B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7</xdr:col>
      <xdr:colOff>457200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F655B7-980C-4736-925F-CF5C7F463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457200</xdr:colOff>
      <xdr:row>17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05F5C-A55F-4A16-83B3-01D21865E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1</xdr:row>
      <xdr:rowOff>114300</xdr:rowOff>
    </xdr:from>
    <xdr:to>
      <xdr:col>8</xdr:col>
      <xdr:colOff>133350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CA60E-AE13-4DBD-8F25-2B09B6A65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7</xdr:col>
      <xdr:colOff>457200</xdr:colOff>
      <xdr:row>19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61D30E-50F5-478D-B9B9-A164D22AF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0</xdr:row>
      <xdr:rowOff>9525</xdr:rowOff>
    </xdr:from>
    <xdr:to>
      <xdr:col>4</xdr:col>
      <xdr:colOff>419100</xdr:colOff>
      <xdr:row>24</xdr:row>
      <xdr:rowOff>142875</xdr:rowOff>
    </xdr:to>
    <xdr:sp macro="" textlink="">
      <xdr:nvSpPr>
        <xdr:cNvPr id="3" name="Arrow: Up-Down 2">
          <a:extLst>
            <a:ext uri="{FF2B5EF4-FFF2-40B4-BE49-F238E27FC236}">
              <a16:creationId xmlns:a16="http://schemas.microsoft.com/office/drawing/2014/main" id="{9BE82ACC-5E4D-4EC4-B292-C7A10C5B88E5}"/>
            </a:ext>
          </a:extLst>
        </xdr:cNvPr>
        <xdr:cNvSpPr/>
      </xdr:nvSpPr>
      <xdr:spPr>
        <a:xfrm flipH="1">
          <a:off x="6810375" y="9525"/>
          <a:ext cx="85725" cy="4371975"/>
        </a:xfrm>
        <a:prstGeom prst="upDown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100853</xdr:colOff>
      <xdr:row>26</xdr:row>
      <xdr:rowOff>11206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ED30222A-6AB5-464F-865A-74064FD37F2A}"/>
            </a:ext>
          </a:extLst>
        </xdr:cNvPr>
        <xdr:cNvSpPr/>
      </xdr:nvSpPr>
      <xdr:spPr>
        <a:xfrm rot="5400000">
          <a:off x="-235324" y="235324"/>
          <a:ext cx="4672853" cy="4202206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56030</xdr:colOff>
      <xdr:row>21</xdr:row>
      <xdr:rowOff>89648</xdr:rowOff>
    </xdr:to>
    <xdr:sp macro="" textlink="">
      <xdr:nvSpPr>
        <xdr:cNvPr id="4" name="Right Triangle 2">
          <a:extLst>
            <a:ext uri="{FF2B5EF4-FFF2-40B4-BE49-F238E27FC236}">
              <a16:creationId xmlns:a16="http://schemas.microsoft.com/office/drawing/2014/main" id="{DE7BE735-172F-406B-93AD-7900EDB9373D}"/>
            </a:ext>
          </a:extLst>
        </xdr:cNvPr>
        <xdr:cNvSpPr/>
      </xdr:nvSpPr>
      <xdr:spPr>
        <a:xfrm rot="5400000">
          <a:off x="-190500" y="190500"/>
          <a:ext cx="3854824" cy="3473824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4">
            <a:lumMod val="75000"/>
            <a:alpha val="29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</xdr:col>
      <xdr:colOff>89649</xdr:colOff>
      <xdr:row>15</xdr:row>
      <xdr:rowOff>78444</xdr:rowOff>
    </xdr:to>
    <xdr:sp macro="" textlink="">
      <xdr:nvSpPr>
        <xdr:cNvPr id="5" name="Right Triangle 2">
          <a:extLst>
            <a:ext uri="{FF2B5EF4-FFF2-40B4-BE49-F238E27FC236}">
              <a16:creationId xmlns:a16="http://schemas.microsoft.com/office/drawing/2014/main" id="{3277056A-29B7-4DA8-9EA3-8DDDD8A06C00}"/>
            </a:ext>
          </a:extLst>
        </xdr:cNvPr>
        <xdr:cNvSpPr/>
      </xdr:nvSpPr>
      <xdr:spPr>
        <a:xfrm rot="5400000">
          <a:off x="28014" y="-28013"/>
          <a:ext cx="2767855" cy="2823884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75000"/>
            <a:alpha val="17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605117</xdr:colOff>
      <xdr:row>1</xdr:row>
      <xdr:rowOff>33618</xdr:rowOff>
    </xdr:from>
    <xdr:to>
      <xdr:col>18</xdr:col>
      <xdr:colOff>638735</xdr:colOff>
      <xdr:row>27</xdr:row>
      <xdr:rowOff>103236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CDCADF31-5869-40DF-B4C6-584131EDCA6B}"/>
            </a:ext>
          </a:extLst>
        </xdr:cNvPr>
        <xdr:cNvSpPr/>
      </xdr:nvSpPr>
      <xdr:spPr>
        <a:xfrm>
          <a:off x="605117" y="212912"/>
          <a:ext cx="12337677" cy="4731265"/>
        </a:xfrm>
        <a:prstGeom prst="roundRect">
          <a:avLst/>
        </a:prstGeom>
        <a:ln>
          <a:noFill/>
        </a:ln>
        <a:effectLst>
          <a:glow rad="127000">
            <a:schemeClr val="accent1"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  <a:reflection blurRad="88900" stA="45000" endPos="34000" dist="1016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5</xdr:col>
      <xdr:colOff>56028</xdr:colOff>
      <xdr:row>4</xdr:row>
      <xdr:rowOff>112060</xdr:rowOff>
    </xdr:from>
    <xdr:to>
      <xdr:col>7</xdr:col>
      <xdr:colOff>596910</xdr:colOff>
      <xdr:row>9</xdr:row>
      <xdr:rowOff>78441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7E30D76-ABEB-47CF-A488-C2672C52EFE2}"/>
            </a:ext>
          </a:extLst>
        </xdr:cNvPr>
        <xdr:cNvSpPr/>
      </xdr:nvSpPr>
      <xdr:spPr>
        <a:xfrm>
          <a:off x="3473822" y="829236"/>
          <a:ext cx="1908000" cy="862852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US" sz="1400" b="1"/>
            <a:t>Average Selling Price (ASP)</a:t>
          </a:r>
          <a:endParaRPr lang="ar-EG" sz="1400" b="1"/>
        </a:p>
      </xdr:txBody>
    </xdr:sp>
    <xdr:clientData/>
  </xdr:twoCellAnchor>
  <xdr:twoCellAnchor>
    <xdr:from>
      <xdr:col>11</xdr:col>
      <xdr:colOff>403413</xdr:colOff>
      <xdr:row>4</xdr:row>
      <xdr:rowOff>129989</xdr:rowOff>
    </xdr:from>
    <xdr:to>
      <xdr:col>14</xdr:col>
      <xdr:colOff>260736</xdr:colOff>
      <xdr:row>9</xdr:row>
      <xdr:rowOff>100853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5C2D0C5-8F9D-4642-BDE3-EB1F15C96953}"/>
            </a:ext>
          </a:extLst>
        </xdr:cNvPr>
        <xdr:cNvSpPr/>
      </xdr:nvSpPr>
      <xdr:spPr>
        <a:xfrm>
          <a:off x="7922560" y="847165"/>
          <a:ext cx="1908000" cy="867335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Revenue Contribution %</a:t>
          </a:r>
          <a:endParaRPr lang="ar-EG" sz="1400" b="1"/>
        </a:p>
      </xdr:txBody>
    </xdr:sp>
    <xdr:clientData/>
  </xdr:twoCellAnchor>
  <xdr:twoCellAnchor>
    <xdr:from>
      <xdr:col>1</xdr:col>
      <xdr:colOff>470646</xdr:colOff>
      <xdr:row>4</xdr:row>
      <xdr:rowOff>125507</xdr:rowOff>
    </xdr:from>
    <xdr:to>
      <xdr:col>4</xdr:col>
      <xdr:colOff>417617</xdr:colOff>
      <xdr:row>9</xdr:row>
      <xdr:rowOff>78441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78D827E-6DE5-4D4B-B306-C0DB4E267A35}"/>
            </a:ext>
          </a:extLst>
        </xdr:cNvPr>
        <xdr:cNvSpPr/>
      </xdr:nvSpPr>
      <xdr:spPr>
        <a:xfrm>
          <a:off x="1154205" y="842683"/>
          <a:ext cx="1997647" cy="849405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Customer Segment Revenue Share </a:t>
          </a:r>
          <a:endParaRPr lang="ar-EG" sz="1400" b="1"/>
        </a:p>
      </xdr:txBody>
    </xdr:sp>
    <xdr:clientData/>
  </xdr:twoCellAnchor>
  <xdr:twoCellAnchor>
    <xdr:from>
      <xdr:col>8</xdr:col>
      <xdr:colOff>253251</xdr:colOff>
      <xdr:row>4</xdr:row>
      <xdr:rowOff>129989</xdr:rowOff>
    </xdr:from>
    <xdr:to>
      <xdr:col>11</xdr:col>
      <xdr:colOff>110575</xdr:colOff>
      <xdr:row>9</xdr:row>
      <xdr:rowOff>89646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FAD78728-C82B-40BE-8277-6B6434BC0214}"/>
            </a:ext>
          </a:extLst>
        </xdr:cNvPr>
        <xdr:cNvSpPr/>
      </xdr:nvSpPr>
      <xdr:spPr>
        <a:xfrm>
          <a:off x="5721722" y="847165"/>
          <a:ext cx="1908000" cy="856128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US" sz="1400" b="1"/>
            <a:t>Total Units Sold</a:t>
          </a:r>
          <a:endParaRPr lang="ar-EG" sz="1400" b="1"/>
        </a:p>
      </xdr:txBody>
    </xdr:sp>
    <xdr:clientData/>
  </xdr:twoCellAnchor>
  <xdr:twoCellAnchor>
    <xdr:from>
      <xdr:col>14</xdr:col>
      <xdr:colOff>562532</xdr:colOff>
      <xdr:row>4</xdr:row>
      <xdr:rowOff>159126</xdr:rowOff>
    </xdr:from>
    <xdr:to>
      <xdr:col>17</xdr:col>
      <xdr:colOff>419856</xdr:colOff>
      <xdr:row>9</xdr:row>
      <xdr:rowOff>134471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B43D5A9-498E-4364-BB19-AFAB6EF9135C}"/>
            </a:ext>
          </a:extLst>
        </xdr:cNvPr>
        <xdr:cNvSpPr/>
      </xdr:nvSpPr>
      <xdr:spPr>
        <a:xfrm>
          <a:off x="10132356" y="876302"/>
          <a:ext cx="1908000" cy="871816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US" sz="1400" b="1"/>
            <a:t>Total</a:t>
          </a:r>
          <a:r>
            <a:rPr lang="en-US" sz="1400" b="1" baseline="0"/>
            <a:t> Revenue</a:t>
          </a:r>
          <a:endParaRPr lang="ar-EG" sz="1400" b="1"/>
        </a:p>
      </xdr:txBody>
    </xdr:sp>
    <xdr:clientData/>
  </xdr:twoCellAnchor>
  <xdr:twoCellAnchor>
    <xdr:from>
      <xdr:col>0</xdr:col>
      <xdr:colOff>572891</xdr:colOff>
      <xdr:row>6</xdr:row>
      <xdr:rowOff>143329</xdr:rowOff>
    </xdr:from>
    <xdr:to>
      <xdr:col>1</xdr:col>
      <xdr:colOff>403415</xdr:colOff>
      <xdr:row>22</xdr:row>
      <xdr:rowOff>168086</xdr:rowOff>
    </xdr:to>
    <xdr:sp macro="" textlink="">
      <xdr:nvSpPr>
        <xdr:cNvPr id="14" name="Flowchart: Manual Operation 13">
          <a:extLst>
            <a:ext uri="{FF2B5EF4-FFF2-40B4-BE49-F238E27FC236}">
              <a16:creationId xmlns:a16="http://schemas.microsoft.com/office/drawing/2014/main" id="{EE1B63AA-1B32-4A91-B63D-FD44334D6385}"/>
            </a:ext>
          </a:extLst>
        </xdr:cNvPr>
        <xdr:cNvSpPr/>
      </xdr:nvSpPr>
      <xdr:spPr>
        <a:xfrm rot="16200000">
          <a:off x="-616799" y="2408784"/>
          <a:ext cx="2893463" cy="51408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620 w 10000"/>
            <a:gd name="connsiteY5" fmla="*/ 5422 h 10000"/>
            <a:gd name="connsiteX6" fmla="*/ 0 w 10000"/>
            <a:gd name="connsiteY6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00" h="10000">
              <a:moveTo>
                <a:pt x="0" y="0"/>
              </a:moveTo>
              <a:lnTo>
                <a:pt x="10000" y="0"/>
              </a:lnTo>
              <a:cubicBezTo>
                <a:pt x="9700" y="1662"/>
                <a:pt x="9556" y="4850"/>
                <a:pt x="9256" y="6512"/>
              </a:cubicBezTo>
              <a:lnTo>
                <a:pt x="8000" y="10000"/>
              </a:lnTo>
              <a:lnTo>
                <a:pt x="2000" y="10000"/>
              </a:lnTo>
              <a:cubicBezTo>
                <a:pt x="1656" y="8183"/>
                <a:pt x="964" y="7239"/>
                <a:pt x="620" y="5422"/>
              </a:cubicBezTo>
              <a:cubicBezTo>
                <a:pt x="413" y="3615"/>
                <a:pt x="207" y="1807"/>
                <a:pt x="0" y="0"/>
              </a:cubicBezTo>
              <a:close/>
            </a:path>
          </a:pathLst>
        </a:cu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15</xdr:col>
      <xdr:colOff>515468</xdr:colOff>
      <xdr:row>7</xdr:row>
      <xdr:rowOff>112058</xdr:rowOff>
    </xdr:from>
    <xdr:to>
      <xdr:col>17</xdr:col>
      <xdr:colOff>246527</xdr:colOff>
      <xdr:row>9</xdr:row>
      <xdr:rowOff>67235</xdr:rowOff>
    </xdr:to>
    <xdr:sp macro="" textlink="'Descriptive statistics'!G3">
      <xdr:nvSpPr>
        <xdr:cNvPr id="15" name="TextBox 14">
          <a:extLst>
            <a:ext uri="{FF2B5EF4-FFF2-40B4-BE49-F238E27FC236}">
              <a16:creationId xmlns:a16="http://schemas.microsoft.com/office/drawing/2014/main" id="{C8B1567E-B501-4C61-A96E-85EEB4E2B832}"/>
            </a:ext>
          </a:extLst>
        </xdr:cNvPr>
        <xdr:cNvSpPr txBox="1"/>
      </xdr:nvSpPr>
      <xdr:spPr>
        <a:xfrm>
          <a:off x="10768850" y="1367117"/>
          <a:ext cx="1098177" cy="31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30430682-2791-44F0-A217-9D1BE3DCA8E6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577604.86</a:t>
          </a:fld>
          <a:endParaRPr lang="ar-EG" sz="2000" b="1"/>
        </a:p>
      </xdr:txBody>
    </xdr:sp>
    <xdr:clientData/>
  </xdr:twoCellAnchor>
  <xdr:twoCellAnchor>
    <xdr:from>
      <xdr:col>9</xdr:col>
      <xdr:colOff>437028</xdr:colOff>
      <xdr:row>7</xdr:row>
      <xdr:rowOff>44825</xdr:rowOff>
    </xdr:from>
    <xdr:to>
      <xdr:col>10</xdr:col>
      <xdr:colOff>605116</xdr:colOff>
      <xdr:row>9</xdr:row>
      <xdr:rowOff>2</xdr:rowOff>
    </xdr:to>
    <xdr:sp macro="" textlink="'Descriptive statistics'!G4">
      <xdr:nvSpPr>
        <xdr:cNvPr id="16" name="TextBox 15">
          <a:extLst>
            <a:ext uri="{FF2B5EF4-FFF2-40B4-BE49-F238E27FC236}">
              <a16:creationId xmlns:a16="http://schemas.microsoft.com/office/drawing/2014/main" id="{4ECA3A59-A9F5-40BC-B7AC-38023EF72B1F}"/>
            </a:ext>
          </a:extLst>
        </xdr:cNvPr>
        <xdr:cNvSpPr txBox="1"/>
      </xdr:nvSpPr>
      <xdr:spPr>
        <a:xfrm>
          <a:off x="6589057" y="1299884"/>
          <a:ext cx="851647" cy="3137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40723765-211B-44F2-893B-760264E49F0C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46099</a:t>
          </a:fld>
          <a:endParaRPr lang="ar-EG" sz="1800" b="1"/>
        </a:p>
      </xdr:txBody>
    </xdr:sp>
    <xdr:clientData/>
  </xdr:twoCellAnchor>
  <xdr:twoCellAnchor>
    <xdr:from>
      <xdr:col>6</xdr:col>
      <xdr:colOff>381000</xdr:colOff>
      <xdr:row>7</xdr:row>
      <xdr:rowOff>100854</xdr:rowOff>
    </xdr:from>
    <xdr:to>
      <xdr:col>7</xdr:col>
      <xdr:colOff>448235</xdr:colOff>
      <xdr:row>9</xdr:row>
      <xdr:rowOff>11207</xdr:rowOff>
    </xdr:to>
    <xdr:sp macro="" textlink="'Descriptive statistics'!G5">
      <xdr:nvSpPr>
        <xdr:cNvPr id="17" name="TextBox 16">
          <a:extLst>
            <a:ext uri="{FF2B5EF4-FFF2-40B4-BE49-F238E27FC236}">
              <a16:creationId xmlns:a16="http://schemas.microsoft.com/office/drawing/2014/main" id="{77EE9706-CBB1-4280-A634-E4757B4075BA}"/>
            </a:ext>
          </a:extLst>
        </xdr:cNvPr>
        <xdr:cNvSpPr txBox="1"/>
      </xdr:nvSpPr>
      <xdr:spPr>
        <a:xfrm>
          <a:off x="4482353" y="1355913"/>
          <a:ext cx="750794" cy="268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40631FDE-81FD-4241-B26A-2A869A609680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0.08</a:t>
          </a:fld>
          <a:endParaRPr lang="ar-EG" sz="1400" b="1"/>
        </a:p>
      </xdr:txBody>
    </xdr:sp>
    <xdr:clientData/>
  </xdr:twoCellAnchor>
  <xdr:twoCellAnchor>
    <xdr:from>
      <xdr:col>18</xdr:col>
      <xdr:colOff>89647</xdr:colOff>
      <xdr:row>7</xdr:row>
      <xdr:rowOff>123265</xdr:rowOff>
    </xdr:from>
    <xdr:to>
      <xdr:col>18</xdr:col>
      <xdr:colOff>381000</xdr:colOff>
      <xdr:row>9</xdr:row>
      <xdr:rowOff>89647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E78C64B-6A25-43D4-AB01-429E88C3181B}"/>
            </a:ext>
          </a:extLst>
        </xdr:cNvPr>
        <xdr:cNvSpPr/>
      </xdr:nvSpPr>
      <xdr:spPr>
        <a:xfrm>
          <a:off x="12393706" y="1378324"/>
          <a:ext cx="291353" cy="324970"/>
        </a:xfrm>
        <a:prstGeom prst="ellipse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4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14</xdr:col>
      <xdr:colOff>627528</xdr:colOff>
      <xdr:row>7</xdr:row>
      <xdr:rowOff>33618</xdr:rowOff>
    </xdr:from>
    <xdr:to>
      <xdr:col>15</xdr:col>
      <xdr:colOff>336176</xdr:colOff>
      <xdr:row>9</xdr:row>
      <xdr:rowOff>33617</xdr:rowOff>
    </xdr:to>
    <xdr:sp macro="" textlink="">
      <xdr:nvSpPr>
        <xdr:cNvPr id="20481" name="Text Box 1">
          <a:extLst>
            <a:ext uri="{FF2B5EF4-FFF2-40B4-BE49-F238E27FC236}">
              <a16:creationId xmlns:a16="http://schemas.microsoft.com/office/drawing/2014/main" id="{BBFB0900-26A2-4D21-ACEC-CF97B0946050}"/>
            </a:ext>
          </a:extLst>
        </xdr:cNvPr>
        <xdr:cNvSpPr txBox="1">
          <a:spLocks noChangeArrowheads="1"/>
        </xdr:cNvSpPr>
      </xdr:nvSpPr>
      <xdr:spPr bwMode="auto">
        <a:xfrm>
          <a:off x="10197352" y="1288677"/>
          <a:ext cx="392206" cy="3585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800" b="1" i="0" u="none" strike="noStrike" baseline="0">
              <a:ln>
                <a:noFill/>
              </a:ln>
              <a:solidFill>
                <a:srgbClr val="FF0000"/>
              </a:solidFill>
              <a:latin typeface="Arial"/>
              <a:cs typeface="Arial"/>
            </a:rPr>
            <a:t>💰</a:t>
          </a:r>
        </a:p>
      </xdr:txBody>
    </xdr:sp>
    <xdr:clientData/>
  </xdr:twoCellAnchor>
  <xdr:twoCellAnchor>
    <xdr:from>
      <xdr:col>8</xdr:col>
      <xdr:colOff>302558</xdr:colOff>
      <xdr:row>6</xdr:row>
      <xdr:rowOff>112060</xdr:rowOff>
    </xdr:from>
    <xdr:to>
      <xdr:col>9</xdr:col>
      <xdr:colOff>50427</xdr:colOff>
      <xdr:row>9</xdr:row>
      <xdr:rowOff>28016</xdr:rowOff>
    </xdr:to>
    <xdr:sp macro="" textlink="">
      <xdr:nvSpPr>
        <xdr:cNvPr id="20482" name="Text Box 2">
          <a:extLst>
            <a:ext uri="{FF2B5EF4-FFF2-40B4-BE49-F238E27FC236}">
              <a16:creationId xmlns:a16="http://schemas.microsoft.com/office/drawing/2014/main" id="{DD39BB62-E31D-4C5D-ADB6-D18FA965929D}"/>
            </a:ext>
          </a:extLst>
        </xdr:cNvPr>
        <xdr:cNvSpPr txBox="1">
          <a:spLocks noChangeArrowheads="1"/>
        </xdr:cNvSpPr>
      </xdr:nvSpPr>
      <xdr:spPr bwMode="auto">
        <a:xfrm>
          <a:off x="5771029" y="1187825"/>
          <a:ext cx="431427" cy="4538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ar-EG" sz="1600" b="0">
              <a:solidFill>
                <a:srgbClr val="00B0F0"/>
              </a:solidFill>
            </a:rPr>
            <a:t>🛒</a:t>
          </a:r>
          <a:endParaRPr lang="en-US" sz="1600" b="0" i="0" u="none" strike="noStrike" baseline="0">
            <a:ln>
              <a:noFill/>
            </a:ln>
            <a:solidFill>
              <a:srgbClr val="00B0F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112058</xdr:colOff>
      <xdr:row>7</xdr:row>
      <xdr:rowOff>11206</xdr:rowOff>
    </xdr:from>
    <xdr:to>
      <xdr:col>5</xdr:col>
      <xdr:colOff>571500</xdr:colOff>
      <xdr:row>8</xdr:row>
      <xdr:rowOff>173692</xdr:rowOff>
    </xdr:to>
    <xdr:sp macro="" textlink="">
      <xdr:nvSpPr>
        <xdr:cNvPr id="20483" name="Text Box 3">
          <a:extLst>
            <a:ext uri="{FF2B5EF4-FFF2-40B4-BE49-F238E27FC236}">
              <a16:creationId xmlns:a16="http://schemas.microsoft.com/office/drawing/2014/main" id="{EA20E687-736C-4785-BDAE-034CCA2837D3}"/>
            </a:ext>
          </a:extLst>
        </xdr:cNvPr>
        <xdr:cNvSpPr txBox="1">
          <a:spLocks noChangeArrowheads="1"/>
        </xdr:cNvSpPr>
      </xdr:nvSpPr>
      <xdr:spPr bwMode="auto">
        <a:xfrm>
          <a:off x="3529852" y="1266265"/>
          <a:ext cx="459442" cy="341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📊</a:t>
          </a:r>
        </a:p>
      </xdr:txBody>
    </xdr:sp>
    <xdr:clientData/>
  </xdr:twoCellAnchor>
  <xdr:twoCellAnchor>
    <xdr:from>
      <xdr:col>6</xdr:col>
      <xdr:colOff>515470</xdr:colOff>
      <xdr:row>1</xdr:row>
      <xdr:rowOff>112058</xdr:rowOff>
    </xdr:from>
    <xdr:to>
      <xdr:col>12</xdr:col>
      <xdr:colOff>493059</xdr:colOff>
      <xdr:row>3</xdr:row>
      <xdr:rowOff>156882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DF2B790E-442C-4351-8A1E-C5E6D0C15BA7}"/>
            </a:ext>
          </a:extLst>
        </xdr:cNvPr>
        <xdr:cNvSpPr/>
      </xdr:nvSpPr>
      <xdr:spPr>
        <a:xfrm>
          <a:off x="4616823" y="291352"/>
          <a:ext cx="4078942" cy="403412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1" anchor="ctr"/>
        <a:lstStyle/>
        <a:p>
          <a:pPr algn="ctr"/>
          <a:r>
            <a:rPr lang="en-US" sz="2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Sales</a:t>
          </a:r>
          <a:r>
            <a:rPr lang="en-US" sz="24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&amp; Revenue Performance</a:t>
          </a:r>
          <a:endParaRPr lang="ar-EG" sz="2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12</xdr:col>
      <xdr:colOff>649941</xdr:colOff>
      <xdr:row>7</xdr:row>
      <xdr:rowOff>89648</xdr:rowOff>
    </xdr:from>
    <xdr:to>
      <xdr:col>14</xdr:col>
      <xdr:colOff>112059</xdr:colOff>
      <xdr:row>9</xdr:row>
      <xdr:rowOff>11207</xdr:rowOff>
    </xdr:to>
    <xdr:sp macro="" textlink="'Descriptive statistics'!I3">
      <xdr:nvSpPr>
        <xdr:cNvPr id="20" name="TextBox 19">
          <a:extLst>
            <a:ext uri="{FF2B5EF4-FFF2-40B4-BE49-F238E27FC236}">
              <a16:creationId xmlns:a16="http://schemas.microsoft.com/office/drawing/2014/main" id="{CB49E804-000F-40C7-92EC-2CB4AA2E77C1}"/>
            </a:ext>
          </a:extLst>
        </xdr:cNvPr>
        <xdr:cNvSpPr txBox="1"/>
      </xdr:nvSpPr>
      <xdr:spPr>
        <a:xfrm>
          <a:off x="8852647" y="1344707"/>
          <a:ext cx="829236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5F96F118-E5BE-437C-942B-86C69C8A73B4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0.30</a:t>
          </a:fld>
          <a:endParaRPr lang="ar-EG" sz="1400" b="1"/>
        </a:p>
      </xdr:txBody>
    </xdr:sp>
    <xdr:clientData/>
  </xdr:twoCellAnchor>
  <xdr:twoCellAnchor>
    <xdr:from>
      <xdr:col>3</xdr:col>
      <xdr:colOff>313766</xdr:colOff>
      <xdr:row>7</xdr:row>
      <xdr:rowOff>89645</xdr:rowOff>
    </xdr:from>
    <xdr:to>
      <xdr:col>4</xdr:col>
      <xdr:colOff>302560</xdr:colOff>
      <xdr:row>9</xdr:row>
      <xdr:rowOff>22410</xdr:rowOff>
    </xdr:to>
    <xdr:sp macro="" textlink="'Descriptive statistics'!I4">
      <xdr:nvSpPr>
        <xdr:cNvPr id="21" name="TextBox 20">
          <a:extLst>
            <a:ext uri="{FF2B5EF4-FFF2-40B4-BE49-F238E27FC236}">
              <a16:creationId xmlns:a16="http://schemas.microsoft.com/office/drawing/2014/main" id="{3C013D9B-1FEB-4B97-927C-954BFD69378D}"/>
            </a:ext>
          </a:extLst>
        </xdr:cNvPr>
        <xdr:cNvSpPr txBox="1"/>
      </xdr:nvSpPr>
      <xdr:spPr>
        <a:xfrm>
          <a:off x="2364442" y="1344704"/>
          <a:ext cx="672353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6CE065E8-7646-4377-91F9-3661EF97DB4D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0.20</a:t>
          </a:fld>
          <a:endParaRPr lang="ar-EG" sz="1800" b="1"/>
        </a:p>
      </xdr:txBody>
    </xdr:sp>
    <xdr:clientData/>
  </xdr:twoCellAnchor>
  <xdr:twoCellAnchor>
    <xdr:from>
      <xdr:col>1</xdr:col>
      <xdr:colOff>672356</xdr:colOff>
      <xdr:row>7</xdr:row>
      <xdr:rowOff>100853</xdr:rowOff>
    </xdr:from>
    <xdr:to>
      <xdr:col>2</xdr:col>
      <xdr:colOff>425825</xdr:colOff>
      <xdr:row>9</xdr:row>
      <xdr:rowOff>44823</xdr:rowOff>
    </xdr:to>
    <xdr:sp macro="" textlink="">
      <xdr:nvSpPr>
        <xdr:cNvPr id="20484" name="Text Box 4">
          <a:extLst>
            <a:ext uri="{FF2B5EF4-FFF2-40B4-BE49-F238E27FC236}">
              <a16:creationId xmlns:a16="http://schemas.microsoft.com/office/drawing/2014/main" id="{6AFCFB41-243E-45A0-974A-E3CED15E3F56}"/>
            </a:ext>
          </a:extLst>
        </xdr:cNvPr>
        <xdr:cNvSpPr txBox="1">
          <a:spLocks noChangeArrowheads="1"/>
        </xdr:cNvSpPr>
      </xdr:nvSpPr>
      <xdr:spPr bwMode="auto">
        <a:xfrm>
          <a:off x="1355915" y="1355912"/>
          <a:ext cx="437028" cy="30255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🧩</a:t>
          </a:r>
        </a:p>
      </xdr:txBody>
    </xdr:sp>
    <xdr:clientData/>
  </xdr:twoCellAnchor>
  <xdr:twoCellAnchor editAs="oneCell">
    <xdr:from>
      <xdr:col>11</xdr:col>
      <xdr:colOff>470647</xdr:colOff>
      <xdr:row>7</xdr:row>
      <xdr:rowOff>1</xdr:rowOff>
    </xdr:from>
    <xdr:to>
      <xdr:col>12</xdr:col>
      <xdr:colOff>313765</xdr:colOff>
      <xdr:row>9</xdr:row>
      <xdr:rowOff>100853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F2AA678-13ED-42E4-94CA-C78994316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89794" y="1255060"/>
          <a:ext cx="526677" cy="459440"/>
        </a:xfrm>
        <a:prstGeom prst="rect">
          <a:avLst/>
        </a:prstGeom>
      </xdr:spPr>
    </xdr:pic>
    <xdr:clientData/>
  </xdr:twoCellAnchor>
  <xdr:twoCellAnchor>
    <xdr:from>
      <xdr:col>1</xdr:col>
      <xdr:colOff>537882</xdr:colOff>
      <xdr:row>9</xdr:row>
      <xdr:rowOff>112060</xdr:rowOff>
    </xdr:from>
    <xdr:to>
      <xdr:col>7</xdr:col>
      <xdr:colOff>392206</xdr:colOff>
      <xdr:row>18</xdr:row>
      <xdr:rowOff>100852</xdr:rowOff>
    </xdr:to>
    <xdr:graphicFrame macro="">
      <xdr:nvGraphicFramePr>
        <xdr:cNvPr id="26" name="Revenue Distribution by Product Type">
          <a:extLst>
            <a:ext uri="{FF2B5EF4-FFF2-40B4-BE49-F238E27FC236}">
              <a16:creationId xmlns:a16="http://schemas.microsoft.com/office/drawing/2014/main" id="{DC289BFF-103F-44F4-8716-15581F056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537881</xdr:colOff>
      <xdr:row>18</xdr:row>
      <xdr:rowOff>156882</xdr:rowOff>
    </xdr:from>
    <xdr:to>
      <xdr:col>7</xdr:col>
      <xdr:colOff>369793</xdr:colOff>
      <xdr:row>27</xdr:row>
      <xdr:rowOff>67234</xdr:rowOff>
    </xdr:to>
    <xdr:graphicFrame macro="">
      <xdr:nvGraphicFramePr>
        <xdr:cNvPr id="27" name="Sales Volume by SKU">
          <a:extLst>
            <a:ext uri="{FF2B5EF4-FFF2-40B4-BE49-F238E27FC236}">
              <a16:creationId xmlns:a16="http://schemas.microsoft.com/office/drawing/2014/main" id="{5D818B2B-45A9-49F5-9D6D-8FF17C887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481853</xdr:colOff>
      <xdr:row>9</xdr:row>
      <xdr:rowOff>123265</xdr:rowOff>
    </xdr:from>
    <xdr:to>
      <xdr:col>12</xdr:col>
      <xdr:colOff>414618</xdr:colOff>
      <xdr:row>18</xdr:row>
      <xdr:rowOff>100853</xdr:rowOff>
    </xdr:to>
    <xdr:graphicFrame macro="">
      <xdr:nvGraphicFramePr>
        <xdr:cNvPr id="28" name="Average Price by Product Type">
          <a:extLst>
            <a:ext uri="{FF2B5EF4-FFF2-40B4-BE49-F238E27FC236}">
              <a16:creationId xmlns:a16="http://schemas.microsoft.com/office/drawing/2014/main" id="{608D4BF2-8FC6-4787-884D-C0CD7177A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526677</xdr:colOff>
      <xdr:row>9</xdr:row>
      <xdr:rowOff>123264</xdr:rowOff>
    </xdr:from>
    <xdr:to>
      <xdr:col>18</xdr:col>
      <xdr:colOff>67236</xdr:colOff>
      <xdr:row>18</xdr:row>
      <xdr:rowOff>89646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7203AE10-25DF-47D3-BFDB-28D1F25EA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381001</xdr:colOff>
      <xdr:row>18</xdr:row>
      <xdr:rowOff>145677</xdr:rowOff>
    </xdr:from>
    <xdr:to>
      <xdr:col>12</xdr:col>
      <xdr:colOff>571501</xdr:colOff>
      <xdr:row>27</xdr:row>
      <xdr:rowOff>78441</xdr:rowOff>
    </xdr:to>
    <xdr:graphicFrame macro="">
      <xdr:nvGraphicFramePr>
        <xdr:cNvPr id="30" name="Products Sold by Customer Demographics and Product Type">
          <a:extLst>
            <a:ext uri="{FF2B5EF4-FFF2-40B4-BE49-F238E27FC236}">
              <a16:creationId xmlns:a16="http://schemas.microsoft.com/office/drawing/2014/main" id="{417C12F1-6E89-4AA3-9DC8-B59A242FF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504266</xdr:colOff>
      <xdr:row>18</xdr:row>
      <xdr:rowOff>156882</xdr:rowOff>
    </xdr:from>
    <xdr:to>
      <xdr:col>18</xdr:col>
      <xdr:colOff>44825</xdr:colOff>
      <xdr:row>27</xdr:row>
      <xdr:rowOff>85726</xdr:rowOff>
    </xdr:to>
    <xdr:graphicFrame macro="">
      <xdr:nvGraphicFramePr>
        <xdr:cNvPr id="31" name="Revenue Distribution by Customer Demographics">
          <a:extLst>
            <a:ext uri="{FF2B5EF4-FFF2-40B4-BE49-F238E27FC236}">
              <a16:creationId xmlns:a16="http://schemas.microsoft.com/office/drawing/2014/main" id="{8D8A9C6E-0F23-4207-9726-FCDA5AFA89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617714</xdr:colOff>
      <xdr:row>7</xdr:row>
      <xdr:rowOff>176946</xdr:rowOff>
    </xdr:from>
    <xdr:to>
      <xdr:col>1</xdr:col>
      <xdr:colOff>315155</xdr:colOff>
      <xdr:row>11</xdr:row>
      <xdr:rowOff>8857</xdr:rowOff>
    </xdr:to>
    <xdr:pic>
      <xdr:nvPicPr>
        <xdr:cNvPr id="46" name="Picture 4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6724FA9-D8EB-4E1D-80F1-637B24804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714" y="1432005"/>
          <a:ext cx="381000" cy="549087"/>
        </a:xfrm>
        <a:prstGeom prst="rect">
          <a:avLst/>
        </a:prstGeom>
      </xdr:spPr>
    </xdr:pic>
    <xdr:clientData/>
  </xdr:twoCellAnchor>
  <xdr:twoCellAnchor editAs="oneCell">
    <xdr:from>
      <xdr:col>0</xdr:col>
      <xdr:colOff>584098</xdr:colOff>
      <xdr:row>10</xdr:row>
      <xdr:rowOff>87301</xdr:rowOff>
    </xdr:from>
    <xdr:to>
      <xdr:col>1</xdr:col>
      <xdr:colOff>359979</xdr:colOff>
      <xdr:row>13</xdr:row>
      <xdr:rowOff>53682</xdr:rowOff>
    </xdr:to>
    <xdr:pic>
      <xdr:nvPicPr>
        <xdr:cNvPr id="47" name="Picture 4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A051A16-9A94-404A-9FFB-16035D23D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098" y="1880242"/>
          <a:ext cx="459440" cy="504264"/>
        </a:xfrm>
        <a:prstGeom prst="rect">
          <a:avLst/>
        </a:prstGeom>
      </xdr:spPr>
    </xdr:pic>
    <xdr:clientData/>
  </xdr:twoCellAnchor>
  <xdr:twoCellAnchor editAs="oneCell">
    <xdr:from>
      <xdr:col>0</xdr:col>
      <xdr:colOff>584097</xdr:colOff>
      <xdr:row>14</xdr:row>
      <xdr:rowOff>8859</xdr:rowOff>
    </xdr:from>
    <xdr:to>
      <xdr:col>1</xdr:col>
      <xdr:colOff>359977</xdr:colOff>
      <xdr:row>16</xdr:row>
      <xdr:rowOff>132124</xdr:rowOff>
    </xdr:to>
    <xdr:pic>
      <xdr:nvPicPr>
        <xdr:cNvPr id="48" name="Picture 4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1877AABC-C76D-4858-96F5-658BAEB4A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4097" y="2518977"/>
          <a:ext cx="459439" cy="481853"/>
        </a:xfrm>
        <a:prstGeom prst="rect">
          <a:avLst/>
        </a:prstGeom>
      </xdr:spPr>
    </xdr:pic>
    <xdr:clientData/>
  </xdr:twoCellAnchor>
  <xdr:twoCellAnchor editAs="oneCell">
    <xdr:from>
      <xdr:col>0</xdr:col>
      <xdr:colOff>628920</xdr:colOff>
      <xdr:row>17</xdr:row>
      <xdr:rowOff>8859</xdr:rowOff>
    </xdr:from>
    <xdr:to>
      <xdr:col>1</xdr:col>
      <xdr:colOff>348773</xdr:colOff>
      <xdr:row>19</xdr:row>
      <xdr:rowOff>64888</xdr:rowOff>
    </xdr:to>
    <xdr:pic>
      <xdr:nvPicPr>
        <xdr:cNvPr id="49" name="Picture 4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C893AB7-77EF-48B4-B9B0-AA7CA7F54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8920" y="3056859"/>
          <a:ext cx="403412" cy="414617"/>
        </a:xfrm>
        <a:prstGeom prst="rect">
          <a:avLst/>
        </a:prstGeom>
      </xdr:spPr>
    </xdr:pic>
    <xdr:clientData/>
  </xdr:twoCellAnchor>
  <xdr:twoCellAnchor editAs="oneCell">
    <xdr:from>
      <xdr:col>0</xdr:col>
      <xdr:colOff>537884</xdr:colOff>
      <xdr:row>19</xdr:row>
      <xdr:rowOff>44824</xdr:rowOff>
    </xdr:from>
    <xdr:to>
      <xdr:col>1</xdr:col>
      <xdr:colOff>291355</xdr:colOff>
      <xdr:row>21</xdr:row>
      <xdr:rowOff>112059</xdr:rowOff>
    </xdr:to>
    <xdr:pic>
      <xdr:nvPicPr>
        <xdr:cNvPr id="43" name="Picture 42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B665942D-1AB2-428E-BEAD-37D7F63FA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84" y="3451412"/>
          <a:ext cx="437030" cy="4258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100853</xdr:colOff>
      <xdr:row>26</xdr:row>
      <xdr:rowOff>11206</xdr:rowOff>
    </xdr:to>
    <xdr:sp macro="" textlink="">
      <xdr:nvSpPr>
        <xdr:cNvPr id="2" name="Right Triangle 2">
          <a:extLst>
            <a:ext uri="{FF2B5EF4-FFF2-40B4-BE49-F238E27FC236}">
              <a16:creationId xmlns:a16="http://schemas.microsoft.com/office/drawing/2014/main" id="{E8389788-1E29-4A44-8962-1C1A54389708}"/>
            </a:ext>
          </a:extLst>
        </xdr:cNvPr>
        <xdr:cNvSpPr/>
      </xdr:nvSpPr>
      <xdr:spPr>
        <a:xfrm rot="5400000">
          <a:off x="-250451" y="250451"/>
          <a:ext cx="4716556" cy="4215653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56030</xdr:colOff>
      <xdr:row>21</xdr:row>
      <xdr:rowOff>89648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597D9A2B-19F5-475A-96E8-DBA1FF9BAFC6}"/>
            </a:ext>
          </a:extLst>
        </xdr:cNvPr>
        <xdr:cNvSpPr/>
      </xdr:nvSpPr>
      <xdr:spPr>
        <a:xfrm rot="5400000">
          <a:off x="-202547" y="202547"/>
          <a:ext cx="3890123" cy="3485030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4">
            <a:lumMod val="75000"/>
            <a:alpha val="29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</xdr:col>
      <xdr:colOff>89649</xdr:colOff>
      <xdr:row>15</xdr:row>
      <xdr:rowOff>78444</xdr:rowOff>
    </xdr:to>
    <xdr:sp macro="" textlink="">
      <xdr:nvSpPr>
        <xdr:cNvPr id="4" name="Right Triangle 2">
          <a:extLst>
            <a:ext uri="{FF2B5EF4-FFF2-40B4-BE49-F238E27FC236}">
              <a16:creationId xmlns:a16="http://schemas.microsoft.com/office/drawing/2014/main" id="{4F02CE02-8B29-4DC1-9CD2-67A43878CC0D}"/>
            </a:ext>
          </a:extLst>
        </xdr:cNvPr>
        <xdr:cNvSpPr/>
      </xdr:nvSpPr>
      <xdr:spPr>
        <a:xfrm rot="5400000">
          <a:off x="19891" y="-19890"/>
          <a:ext cx="2793068" cy="2832849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75000"/>
            <a:alpha val="17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616324</xdr:colOff>
      <xdr:row>1</xdr:row>
      <xdr:rowOff>56030</xdr:rowOff>
    </xdr:from>
    <xdr:to>
      <xdr:col>18</xdr:col>
      <xdr:colOff>358588</xdr:colOff>
      <xdr:row>27</xdr:row>
      <xdr:rowOff>125648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5085C5C-E838-4319-ABEE-88D993CC8F99}"/>
            </a:ext>
          </a:extLst>
        </xdr:cNvPr>
        <xdr:cNvSpPr/>
      </xdr:nvSpPr>
      <xdr:spPr>
        <a:xfrm>
          <a:off x="616324" y="235324"/>
          <a:ext cx="12046323" cy="4731265"/>
        </a:xfrm>
        <a:prstGeom prst="roundRect">
          <a:avLst/>
        </a:prstGeom>
        <a:ln>
          <a:noFill/>
        </a:ln>
        <a:effectLst>
          <a:glow rad="127000">
            <a:schemeClr val="accent1"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  <a:reflection blurRad="88900" stA="45000" endPos="34000" dist="1016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14</xdr:col>
      <xdr:colOff>466161</xdr:colOff>
      <xdr:row>4</xdr:row>
      <xdr:rowOff>96372</xdr:rowOff>
    </xdr:from>
    <xdr:to>
      <xdr:col>17</xdr:col>
      <xdr:colOff>323485</xdr:colOff>
      <xdr:row>10</xdr:row>
      <xdr:rowOff>28607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02EA901-9FAD-459F-B55F-D2BB3AA44A75}"/>
            </a:ext>
          </a:extLst>
        </xdr:cNvPr>
        <xdr:cNvSpPr/>
      </xdr:nvSpPr>
      <xdr:spPr>
        <a:xfrm>
          <a:off x="10035985" y="813548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Slow-Moving Items %</a:t>
          </a:r>
          <a:endParaRPr lang="ar-EG" sz="1400" b="1"/>
        </a:p>
      </xdr:txBody>
    </xdr:sp>
    <xdr:clientData/>
  </xdr:twoCellAnchor>
  <xdr:twoCellAnchor>
    <xdr:from>
      <xdr:col>10</xdr:col>
      <xdr:colOff>428064</xdr:colOff>
      <xdr:row>4</xdr:row>
      <xdr:rowOff>125506</xdr:rowOff>
    </xdr:from>
    <xdr:to>
      <xdr:col>13</xdr:col>
      <xdr:colOff>285387</xdr:colOff>
      <xdr:row>10</xdr:row>
      <xdr:rowOff>57741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5D0B0C8-603F-4FFA-BAB5-0A9721F8D52E}"/>
            </a:ext>
          </a:extLst>
        </xdr:cNvPr>
        <xdr:cNvSpPr/>
      </xdr:nvSpPr>
      <xdr:spPr>
        <a:xfrm>
          <a:off x="7263652" y="842682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Inventory Turnover</a:t>
          </a:r>
          <a:endParaRPr lang="ar-EG" sz="1400" b="1"/>
        </a:p>
      </xdr:txBody>
    </xdr:sp>
    <xdr:clientData/>
  </xdr:twoCellAnchor>
  <xdr:twoCellAnchor>
    <xdr:from>
      <xdr:col>2</xdr:col>
      <xdr:colOff>333934</xdr:colOff>
      <xdr:row>4</xdr:row>
      <xdr:rowOff>87408</xdr:rowOff>
    </xdr:from>
    <xdr:to>
      <xdr:col>5</xdr:col>
      <xdr:colOff>191258</xdr:colOff>
      <xdr:row>10</xdr:row>
      <xdr:rowOff>19643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487F9DF-8127-41CE-B049-A735E2D34047}"/>
            </a:ext>
          </a:extLst>
        </xdr:cNvPr>
        <xdr:cNvSpPr/>
      </xdr:nvSpPr>
      <xdr:spPr>
        <a:xfrm>
          <a:off x="1701052" y="804584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Total Stok on Hand</a:t>
          </a:r>
          <a:endParaRPr lang="ar-EG" sz="1400" b="1"/>
        </a:p>
      </xdr:txBody>
    </xdr:sp>
    <xdr:clientData/>
  </xdr:twoCellAnchor>
  <xdr:twoCellAnchor>
    <xdr:from>
      <xdr:col>6</xdr:col>
      <xdr:colOff>349623</xdr:colOff>
      <xdr:row>4</xdr:row>
      <xdr:rowOff>114301</xdr:rowOff>
    </xdr:from>
    <xdr:to>
      <xdr:col>9</xdr:col>
      <xdr:colOff>206947</xdr:colOff>
      <xdr:row>10</xdr:row>
      <xdr:rowOff>46536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9B2DEEC-151F-44F3-B812-1900B27135A9}"/>
            </a:ext>
          </a:extLst>
        </xdr:cNvPr>
        <xdr:cNvSpPr/>
      </xdr:nvSpPr>
      <xdr:spPr>
        <a:xfrm>
          <a:off x="4450976" y="831477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US" sz="1400" b="1"/>
            <a:t>Average stock level</a:t>
          </a:r>
          <a:endParaRPr lang="ar-EG" sz="1400" b="1"/>
        </a:p>
      </xdr:txBody>
    </xdr:sp>
    <xdr:clientData/>
  </xdr:twoCellAnchor>
  <xdr:twoCellAnchor>
    <xdr:from>
      <xdr:col>0</xdr:col>
      <xdr:colOff>628920</xdr:colOff>
      <xdr:row>6</xdr:row>
      <xdr:rowOff>176948</xdr:rowOff>
    </xdr:from>
    <xdr:to>
      <xdr:col>1</xdr:col>
      <xdr:colOff>459444</xdr:colOff>
      <xdr:row>23</xdr:row>
      <xdr:rowOff>22411</xdr:rowOff>
    </xdr:to>
    <xdr:sp macro="" textlink="">
      <xdr:nvSpPr>
        <xdr:cNvPr id="12" name="Flowchart: Manual Operation 13">
          <a:extLst>
            <a:ext uri="{FF2B5EF4-FFF2-40B4-BE49-F238E27FC236}">
              <a16:creationId xmlns:a16="http://schemas.microsoft.com/office/drawing/2014/main" id="{69B98BBF-8936-45D1-9F30-99DE83D64216}"/>
            </a:ext>
          </a:extLst>
        </xdr:cNvPr>
        <xdr:cNvSpPr/>
      </xdr:nvSpPr>
      <xdr:spPr>
        <a:xfrm rot="16200000">
          <a:off x="-560770" y="2442403"/>
          <a:ext cx="2893463" cy="51408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620 w 10000"/>
            <a:gd name="connsiteY5" fmla="*/ 5422 h 10000"/>
            <a:gd name="connsiteX6" fmla="*/ 0 w 10000"/>
            <a:gd name="connsiteY6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00" h="10000">
              <a:moveTo>
                <a:pt x="0" y="0"/>
              </a:moveTo>
              <a:lnTo>
                <a:pt x="10000" y="0"/>
              </a:lnTo>
              <a:cubicBezTo>
                <a:pt x="9700" y="1662"/>
                <a:pt x="9556" y="4850"/>
                <a:pt x="9256" y="6512"/>
              </a:cubicBezTo>
              <a:lnTo>
                <a:pt x="8000" y="10000"/>
              </a:lnTo>
              <a:lnTo>
                <a:pt x="2000" y="10000"/>
              </a:lnTo>
              <a:cubicBezTo>
                <a:pt x="1656" y="8183"/>
                <a:pt x="964" y="7239"/>
                <a:pt x="620" y="5422"/>
              </a:cubicBezTo>
              <a:cubicBezTo>
                <a:pt x="413" y="3615"/>
                <a:pt x="207" y="1807"/>
                <a:pt x="0" y="0"/>
              </a:cubicBezTo>
              <a:close/>
            </a:path>
          </a:pathLst>
        </a:cu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11207</xdr:colOff>
      <xdr:row>7</xdr:row>
      <xdr:rowOff>168087</xdr:rowOff>
    </xdr:from>
    <xdr:to>
      <xdr:col>9</xdr:col>
      <xdr:colOff>11208</xdr:colOff>
      <xdr:row>9</xdr:row>
      <xdr:rowOff>78441</xdr:rowOff>
    </xdr:to>
    <xdr:sp macro="" textlink="'Descriptive statistics'!G7">
      <xdr:nvSpPr>
        <xdr:cNvPr id="13" name="TextBox 12">
          <a:extLst>
            <a:ext uri="{FF2B5EF4-FFF2-40B4-BE49-F238E27FC236}">
              <a16:creationId xmlns:a16="http://schemas.microsoft.com/office/drawing/2014/main" id="{0E0A8B71-0F3D-4724-89C5-9CA1373ED38B}"/>
            </a:ext>
          </a:extLst>
        </xdr:cNvPr>
        <xdr:cNvSpPr txBox="1"/>
      </xdr:nvSpPr>
      <xdr:spPr>
        <a:xfrm>
          <a:off x="5479678" y="1423146"/>
          <a:ext cx="683559" cy="2689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304C595F-CFAF-4302-BF7A-270B8B0E48F6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47.77</a:t>
          </a:fld>
          <a:endParaRPr lang="ar-EG" sz="1400" b="1"/>
        </a:p>
      </xdr:txBody>
    </xdr:sp>
    <xdr:clientData/>
  </xdr:twoCellAnchor>
  <xdr:twoCellAnchor>
    <xdr:from>
      <xdr:col>7</xdr:col>
      <xdr:colOff>302557</xdr:colOff>
      <xdr:row>2</xdr:row>
      <xdr:rowOff>0</xdr:rowOff>
    </xdr:from>
    <xdr:to>
      <xdr:col>12</xdr:col>
      <xdr:colOff>168087</xdr:colOff>
      <xdr:row>4</xdr:row>
      <xdr:rowOff>11206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960FDB4F-8E5E-4AEF-ACEC-F8D3E53550F9}"/>
            </a:ext>
          </a:extLst>
        </xdr:cNvPr>
        <xdr:cNvSpPr/>
      </xdr:nvSpPr>
      <xdr:spPr>
        <a:xfrm>
          <a:off x="5087469" y="358588"/>
          <a:ext cx="3283324" cy="369794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US" sz="18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Inventory</a:t>
          </a:r>
          <a:r>
            <a:rPr lang="en-US" sz="18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&amp; Demand Efficiency</a:t>
          </a:r>
          <a:endParaRPr lang="ar-EG" sz="18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16</xdr:col>
      <xdr:colOff>268941</xdr:colOff>
      <xdr:row>8</xdr:row>
      <xdr:rowOff>0</xdr:rowOff>
    </xdr:from>
    <xdr:to>
      <xdr:col>17</xdr:col>
      <xdr:colOff>134470</xdr:colOff>
      <xdr:row>9</xdr:row>
      <xdr:rowOff>100853</xdr:rowOff>
    </xdr:to>
    <xdr:sp macro="" textlink="'Descriptive statistics'!G8">
      <xdr:nvSpPr>
        <xdr:cNvPr id="15" name="TextBox 14">
          <a:extLst>
            <a:ext uri="{FF2B5EF4-FFF2-40B4-BE49-F238E27FC236}">
              <a16:creationId xmlns:a16="http://schemas.microsoft.com/office/drawing/2014/main" id="{9D719BD8-6DA1-4108-9170-8A5F3BDBE165}"/>
            </a:ext>
          </a:extLst>
        </xdr:cNvPr>
        <xdr:cNvSpPr txBox="1"/>
      </xdr:nvSpPr>
      <xdr:spPr>
        <a:xfrm>
          <a:off x="11205882" y="1434353"/>
          <a:ext cx="549088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D464E56A-AF0B-461E-AA5D-A3577FEA6FD8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0.05</a:t>
          </a:fld>
          <a:endParaRPr lang="ar-EG" sz="1400" b="1"/>
        </a:p>
      </xdr:txBody>
    </xdr:sp>
    <xdr:clientData/>
  </xdr:twoCellAnchor>
  <xdr:twoCellAnchor>
    <xdr:from>
      <xdr:col>4</xdr:col>
      <xdr:colOff>22412</xdr:colOff>
      <xdr:row>8</xdr:row>
      <xdr:rowOff>33619</xdr:rowOff>
    </xdr:from>
    <xdr:to>
      <xdr:col>4</xdr:col>
      <xdr:colOff>672353</xdr:colOff>
      <xdr:row>9</xdr:row>
      <xdr:rowOff>112061</xdr:rowOff>
    </xdr:to>
    <xdr:sp macro="" textlink="'Descriptive statistics'!G9">
      <xdr:nvSpPr>
        <xdr:cNvPr id="16" name="TextBox 15">
          <a:extLst>
            <a:ext uri="{FF2B5EF4-FFF2-40B4-BE49-F238E27FC236}">
              <a16:creationId xmlns:a16="http://schemas.microsoft.com/office/drawing/2014/main" id="{F9F4E8D3-79B8-49AA-8E0E-A65F6997E335}"/>
            </a:ext>
          </a:extLst>
        </xdr:cNvPr>
        <xdr:cNvSpPr txBox="1"/>
      </xdr:nvSpPr>
      <xdr:spPr>
        <a:xfrm>
          <a:off x="2756647" y="1467972"/>
          <a:ext cx="649941" cy="2577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14ADF797-8FEC-4313-BED6-7E591249DECD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4777</a:t>
          </a:fld>
          <a:endParaRPr lang="ar-EG" sz="1400" b="1"/>
        </a:p>
      </xdr:txBody>
    </xdr:sp>
    <xdr:clientData/>
  </xdr:twoCellAnchor>
  <xdr:twoCellAnchor>
    <xdr:from>
      <xdr:col>11</xdr:col>
      <xdr:colOff>638735</xdr:colOff>
      <xdr:row>8</xdr:row>
      <xdr:rowOff>11206</xdr:rowOff>
    </xdr:from>
    <xdr:to>
      <xdr:col>13</xdr:col>
      <xdr:colOff>100850</xdr:colOff>
      <xdr:row>9</xdr:row>
      <xdr:rowOff>89647</xdr:rowOff>
    </xdr:to>
    <xdr:sp macro="" textlink="'Descriptive statistics'!G10">
      <xdr:nvSpPr>
        <xdr:cNvPr id="17" name="TextBox 16">
          <a:extLst>
            <a:ext uri="{FF2B5EF4-FFF2-40B4-BE49-F238E27FC236}">
              <a16:creationId xmlns:a16="http://schemas.microsoft.com/office/drawing/2014/main" id="{C8F7BCCF-C8FD-410E-9964-E000F412537C}"/>
            </a:ext>
          </a:extLst>
        </xdr:cNvPr>
        <xdr:cNvSpPr txBox="1"/>
      </xdr:nvSpPr>
      <xdr:spPr>
        <a:xfrm>
          <a:off x="8157882" y="1445559"/>
          <a:ext cx="829233" cy="257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37BEACD4-AD20-4A29-8FF0-12F7188C30E8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965.02</a:t>
          </a:fld>
          <a:endParaRPr lang="ar-EG" sz="1400" b="1"/>
        </a:p>
      </xdr:txBody>
    </xdr:sp>
    <xdr:clientData/>
  </xdr:twoCellAnchor>
  <xdr:twoCellAnchor>
    <xdr:from>
      <xdr:col>2</xdr:col>
      <xdr:colOff>403411</xdr:colOff>
      <xdr:row>10</xdr:row>
      <xdr:rowOff>136151</xdr:rowOff>
    </xdr:from>
    <xdr:to>
      <xdr:col>10</xdr:col>
      <xdr:colOff>56030</xdr:colOff>
      <xdr:row>26</xdr:row>
      <xdr:rowOff>145676</xdr:rowOff>
    </xdr:to>
    <xdr:graphicFrame macro="">
      <xdr:nvGraphicFramePr>
        <xdr:cNvPr id="24" name="Inventory Turnover Analysis by SKU">
          <a:extLst>
            <a:ext uri="{FF2B5EF4-FFF2-40B4-BE49-F238E27FC236}">
              <a16:creationId xmlns:a16="http://schemas.microsoft.com/office/drawing/2014/main" id="{BF3BFDA1-0A37-4F94-A385-0DFFD85EA0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179294</xdr:colOff>
      <xdr:row>10</xdr:row>
      <xdr:rowOff>123265</xdr:rowOff>
    </xdr:from>
    <xdr:to>
      <xdr:col>17</xdr:col>
      <xdr:colOff>605960</xdr:colOff>
      <xdr:row>26</xdr:row>
      <xdr:rowOff>156882</xdr:rowOff>
    </xdr:to>
    <xdr:graphicFrame macro="">
      <xdr:nvGraphicFramePr>
        <xdr:cNvPr id="25" name="Stock Levels by SKU">
          <a:extLst>
            <a:ext uri="{FF2B5EF4-FFF2-40B4-BE49-F238E27FC236}">
              <a16:creationId xmlns:a16="http://schemas.microsoft.com/office/drawing/2014/main" id="{93481C23-5FF8-4C11-9FA6-DECFEA8443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526676</xdr:colOff>
      <xdr:row>7</xdr:row>
      <xdr:rowOff>78442</xdr:rowOff>
    </xdr:from>
    <xdr:to>
      <xdr:col>3</xdr:col>
      <xdr:colOff>302559</xdr:colOff>
      <xdr:row>9</xdr:row>
      <xdr:rowOff>151280</xdr:rowOff>
    </xdr:to>
    <xdr:sp macro="" textlink="">
      <xdr:nvSpPr>
        <xdr:cNvPr id="21505" name="Text Box 1">
          <a:extLst>
            <a:ext uri="{FF2B5EF4-FFF2-40B4-BE49-F238E27FC236}">
              <a16:creationId xmlns:a16="http://schemas.microsoft.com/office/drawing/2014/main" id="{5CCA73AC-031E-4F5F-9D1B-8D1262AA8616}"/>
            </a:ext>
          </a:extLst>
        </xdr:cNvPr>
        <xdr:cNvSpPr txBox="1">
          <a:spLocks noChangeArrowheads="1"/>
        </xdr:cNvSpPr>
      </xdr:nvSpPr>
      <xdr:spPr bwMode="auto">
        <a:xfrm>
          <a:off x="1893794" y="1333501"/>
          <a:ext cx="459441" cy="431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📦</a:t>
          </a:r>
        </a:p>
      </xdr:txBody>
    </xdr:sp>
    <xdr:clientData/>
  </xdr:twoCellAnchor>
  <xdr:twoCellAnchor>
    <xdr:from>
      <xdr:col>6</xdr:col>
      <xdr:colOff>526677</xdr:colOff>
      <xdr:row>7</xdr:row>
      <xdr:rowOff>89647</xdr:rowOff>
    </xdr:from>
    <xdr:to>
      <xdr:col>7</xdr:col>
      <xdr:colOff>459441</xdr:colOff>
      <xdr:row>9</xdr:row>
      <xdr:rowOff>112059</xdr:rowOff>
    </xdr:to>
    <xdr:sp macro="" textlink="">
      <xdr:nvSpPr>
        <xdr:cNvPr id="21506" name="Text Box 2">
          <a:extLst>
            <a:ext uri="{FF2B5EF4-FFF2-40B4-BE49-F238E27FC236}">
              <a16:creationId xmlns:a16="http://schemas.microsoft.com/office/drawing/2014/main" id="{4ADC311A-7347-440A-A000-2C457637E1D8}"/>
            </a:ext>
          </a:extLst>
        </xdr:cNvPr>
        <xdr:cNvSpPr txBox="1">
          <a:spLocks noChangeArrowheads="1"/>
        </xdr:cNvSpPr>
      </xdr:nvSpPr>
      <xdr:spPr bwMode="auto">
        <a:xfrm>
          <a:off x="4628030" y="1344706"/>
          <a:ext cx="616323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📦📊</a:t>
          </a:r>
        </a:p>
      </xdr:txBody>
    </xdr:sp>
    <xdr:clientData/>
  </xdr:twoCellAnchor>
  <xdr:twoCellAnchor>
    <xdr:from>
      <xdr:col>10</xdr:col>
      <xdr:colOff>616324</xdr:colOff>
      <xdr:row>7</xdr:row>
      <xdr:rowOff>145676</xdr:rowOff>
    </xdr:from>
    <xdr:to>
      <xdr:col>11</xdr:col>
      <xdr:colOff>599515</xdr:colOff>
      <xdr:row>9</xdr:row>
      <xdr:rowOff>106456</xdr:rowOff>
    </xdr:to>
    <xdr:sp macro="" textlink="">
      <xdr:nvSpPr>
        <xdr:cNvPr id="21507" name="Text Box 3">
          <a:extLst>
            <a:ext uri="{FF2B5EF4-FFF2-40B4-BE49-F238E27FC236}">
              <a16:creationId xmlns:a16="http://schemas.microsoft.com/office/drawing/2014/main" id="{725B7FC8-3928-4968-87EF-641C7AD6F4F4}"/>
            </a:ext>
          </a:extLst>
        </xdr:cNvPr>
        <xdr:cNvSpPr txBox="1">
          <a:spLocks noChangeArrowheads="1"/>
        </xdr:cNvSpPr>
      </xdr:nvSpPr>
      <xdr:spPr bwMode="auto">
        <a:xfrm>
          <a:off x="7451912" y="1400735"/>
          <a:ext cx="666750" cy="3193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🔄📦</a:t>
          </a:r>
        </a:p>
      </xdr:txBody>
    </xdr:sp>
    <xdr:clientData/>
  </xdr:twoCellAnchor>
  <xdr:twoCellAnchor>
    <xdr:from>
      <xdr:col>14</xdr:col>
      <xdr:colOff>649940</xdr:colOff>
      <xdr:row>7</xdr:row>
      <xdr:rowOff>112058</xdr:rowOff>
    </xdr:from>
    <xdr:to>
      <xdr:col>15</xdr:col>
      <xdr:colOff>509867</xdr:colOff>
      <xdr:row>9</xdr:row>
      <xdr:rowOff>117661</xdr:rowOff>
    </xdr:to>
    <xdr:sp macro="" textlink="">
      <xdr:nvSpPr>
        <xdr:cNvPr id="21508" name="Text Box 4">
          <a:extLst>
            <a:ext uri="{FF2B5EF4-FFF2-40B4-BE49-F238E27FC236}">
              <a16:creationId xmlns:a16="http://schemas.microsoft.com/office/drawing/2014/main" id="{EB09634B-A26A-49F3-83E9-C2F500164C47}"/>
            </a:ext>
          </a:extLst>
        </xdr:cNvPr>
        <xdr:cNvSpPr txBox="1">
          <a:spLocks noChangeArrowheads="1"/>
        </xdr:cNvSpPr>
      </xdr:nvSpPr>
      <xdr:spPr bwMode="auto">
        <a:xfrm>
          <a:off x="10219764" y="1367117"/>
          <a:ext cx="543485" cy="364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🐢📦</a:t>
          </a:r>
        </a:p>
      </xdr:txBody>
    </xdr:sp>
    <xdr:clientData/>
  </xdr:twoCellAnchor>
  <xdr:twoCellAnchor editAs="oneCell">
    <xdr:from>
      <xdr:col>0</xdr:col>
      <xdr:colOff>640126</xdr:colOff>
      <xdr:row>8</xdr:row>
      <xdr:rowOff>8860</xdr:rowOff>
    </xdr:from>
    <xdr:to>
      <xdr:col>1</xdr:col>
      <xdr:colOff>337567</xdr:colOff>
      <xdr:row>11</xdr:row>
      <xdr:rowOff>20065</xdr:rowOff>
    </xdr:to>
    <xdr:pic>
      <xdr:nvPicPr>
        <xdr:cNvPr id="38" name="Picture 3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616907F-9AC6-4DA6-927A-9BCC176C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126" y="1443213"/>
          <a:ext cx="381000" cy="549087"/>
        </a:xfrm>
        <a:prstGeom prst="rect">
          <a:avLst/>
        </a:prstGeom>
      </xdr:spPr>
    </xdr:pic>
    <xdr:clientData/>
  </xdr:twoCellAnchor>
  <xdr:twoCellAnchor editAs="oneCell">
    <xdr:from>
      <xdr:col>0</xdr:col>
      <xdr:colOff>617714</xdr:colOff>
      <xdr:row>11</xdr:row>
      <xdr:rowOff>42478</xdr:rowOff>
    </xdr:from>
    <xdr:to>
      <xdr:col>1</xdr:col>
      <xdr:colOff>393595</xdr:colOff>
      <xdr:row>14</xdr:row>
      <xdr:rowOff>8859</xdr:rowOff>
    </xdr:to>
    <xdr:pic>
      <xdr:nvPicPr>
        <xdr:cNvPr id="39" name="Pictur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7E2430E-7438-4191-AE20-B989D6494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714" y="2014713"/>
          <a:ext cx="459440" cy="504264"/>
        </a:xfrm>
        <a:prstGeom prst="rect">
          <a:avLst/>
        </a:prstGeom>
      </xdr:spPr>
    </xdr:pic>
    <xdr:clientData/>
  </xdr:twoCellAnchor>
  <xdr:twoCellAnchor editAs="oneCell">
    <xdr:from>
      <xdr:col>0</xdr:col>
      <xdr:colOff>617714</xdr:colOff>
      <xdr:row>14</xdr:row>
      <xdr:rowOff>87301</xdr:rowOff>
    </xdr:from>
    <xdr:to>
      <xdr:col>1</xdr:col>
      <xdr:colOff>393594</xdr:colOff>
      <xdr:row>17</xdr:row>
      <xdr:rowOff>31272</xdr:rowOff>
    </xdr:to>
    <xdr:pic>
      <xdr:nvPicPr>
        <xdr:cNvPr id="41" name="Picture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584470A-C608-4397-B25C-AD32AAE81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714" y="2597419"/>
          <a:ext cx="459439" cy="4818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78441</xdr:rowOff>
    </xdr:from>
    <xdr:to>
      <xdr:col>1</xdr:col>
      <xdr:colOff>403412</xdr:colOff>
      <xdr:row>19</xdr:row>
      <xdr:rowOff>134470</xdr:rowOff>
    </xdr:to>
    <xdr:pic>
      <xdr:nvPicPr>
        <xdr:cNvPr id="21511" name="Picture 215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CA63667-11C6-47BC-8977-CF61A6449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559" y="3126441"/>
          <a:ext cx="403412" cy="414617"/>
        </a:xfrm>
        <a:prstGeom prst="rect">
          <a:avLst/>
        </a:prstGeom>
      </xdr:spPr>
    </xdr:pic>
    <xdr:clientData/>
  </xdr:twoCellAnchor>
  <xdr:twoCellAnchor editAs="oneCell">
    <xdr:from>
      <xdr:col>0</xdr:col>
      <xdr:colOff>617714</xdr:colOff>
      <xdr:row>19</xdr:row>
      <xdr:rowOff>132125</xdr:rowOff>
    </xdr:from>
    <xdr:to>
      <xdr:col>1</xdr:col>
      <xdr:colOff>371185</xdr:colOff>
      <xdr:row>22</xdr:row>
      <xdr:rowOff>20065</xdr:rowOff>
    </xdr:to>
    <xdr:pic>
      <xdr:nvPicPr>
        <xdr:cNvPr id="44" name="Picture 4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17A1A60-877A-4415-BB9C-0D2C43463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714" y="3538713"/>
          <a:ext cx="437030" cy="4258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100853</xdr:colOff>
      <xdr:row>26</xdr:row>
      <xdr:rowOff>11206</xdr:rowOff>
    </xdr:to>
    <xdr:sp macro="" textlink="">
      <xdr:nvSpPr>
        <xdr:cNvPr id="2" name="Right Triangle 2">
          <a:extLst>
            <a:ext uri="{FF2B5EF4-FFF2-40B4-BE49-F238E27FC236}">
              <a16:creationId xmlns:a16="http://schemas.microsoft.com/office/drawing/2014/main" id="{FC753BF2-5059-40E2-8CBD-B115C7A03A7A}"/>
            </a:ext>
          </a:extLst>
        </xdr:cNvPr>
        <xdr:cNvSpPr/>
      </xdr:nvSpPr>
      <xdr:spPr>
        <a:xfrm rot="5400000">
          <a:off x="-250451" y="250451"/>
          <a:ext cx="4716556" cy="4215653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56030</xdr:colOff>
      <xdr:row>21</xdr:row>
      <xdr:rowOff>89648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C6A4AA66-19FB-44E1-A38F-945C34DC68BE}"/>
            </a:ext>
          </a:extLst>
        </xdr:cNvPr>
        <xdr:cNvSpPr/>
      </xdr:nvSpPr>
      <xdr:spPr>
        <a:xfrm rot="5400000">
          <a:off x="-202547" y="202547"/>
          <a:ext cx="3890123" cy="3485030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4">
            <a:lumMod val="75000"/>
            <a:alpha val="29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</xdr:col>
      <xdr:colOff>89649</xdr:colOff>
      <xdr:row>15</xdr:row>
      <xdr:rowOff>78444</xdr:rowOff>
    </xdr:to>
    <xdr:sp macro="" textlink="">
      <xdr:nvSpPr>
        <xdr:cNvPr id="4" name="Right Triangle 2">
          <a:extLst>
            <a:ext uri="{FF2B5EF4-FFF2-40B4-BE49-F238E27FC236}">
              <a16:creationId xmlns:a16="http://schemas.microsoft.com/office/drawing/2014/main" id="{F15614AB-2684-421A-ADBE-D1069D9DDCB6}"/>
            </a:ext>
          </a:extLst>
        </xdr:cNvPr>
        <xdr:cNvSpPr/>
      </xdr:nvSpPr>
      <xdr:spPr>
        <a:xfrm rot="5400000">
          <a:off x="19891" y="-19890"/>
          <a:ext cx="2793068" cy="2832849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75000"/>
            <a:alpha val="17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481854</xdr:colOff>
      <xdr:row>1</xdr:row>
      <xdr:rowOff>56030</xdr:rowOff>
    </xdr:from>
    <xdr:to>
      <xdr:col>18</xdr:col>
      <xdr:colOff>582707</xdr:colOff>
      <xdr:row>27</xdr:row>
      <xdr:rowOff>125648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23D49F8-6872-4CEE-9D9D-DA175876AD75}"/>
            </a:ext>
          </a:extLst>
        </xdr:cNvPr>
        <xdr:cNvSpPr/>
      </xdr:nvSpPr>
      <xdr:spPr>
        <a:xfrm>
          <a:off x="481854" y="235324"/>
          <a:ext cx="12404912" cy="4731265"/>
        </a:xfrm>
        <a:prstGeom prst="roundRect">
          <a:avLst/>
        </a:prstGeom>
        <a:ln>
          <a:noFill/>
        </a:ln>
        <a:effectLst>
          <a:glow rad="127000">
            <a:schemeClr val="accent1"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  <a:reflection blurRad="88900" stA="45000" endPos="34000" dist="1016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2</xdr:col>
      <xdr:colOff>533399</xdr:colOff>
      <xdr:row>3</xdr:row>
      <xdr:rowOff>129987</xdr:rowOff>
    </xdr:from>
    <xdr:to>
      <xdr:col>5</xdr:col>
      <xdr:colOff>390723</xdr:colOff>
      <xdr:row>9</xdr:row>
      <xdr:rowOff>62222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ACFBF37-0F3D-40BE-A022-077DD84310ED}"/>
            </a:ext>
          </a:extLst>
        </xdr:cNvPr>
        <xdr:cNvSpPr/>
      </xdr:nvSpPr>
      <xdr:spPr>
        <a:xfrm>
          <a:off x="1900517" y="667869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On Time Performance</a:t>
          </a:r>
          <a:endParaRPr lang="ar-EG" sz="1400" b="1"/>
        </a:p>
      </xdr:txBody>
    </xdr:sp>
    <xdr:clientData/>
  </xdr:twoCellAnchor>
  <xdr:twoCellAnchor>
    <xdr:from>
      <xdr:col>14</xdr:col>
      <xdr:colOff>551329</xdr:colOff>
      <xdr:row>4</xdr:row>
      <xdr:rowOff>80682</xdr:rowOff>
    </xdr:from>
    <xdr:to>
      <xdr:col>17</xdr:col>
      <xdr:colOff>408653</xdr:colOff>
      <xdr:row>10</xdr:row>
      <xdr:rowOff>12917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4547250D-CA9E-4C62-926C-E1253C59BC05}"/>
            </a:ext>
          </a:extLst>
        </xdr:cNvPr>
        <xdr:cNvSpPr/>
      </xdr:nvSpPr>
      <xdr:spPr>
        <a:xfrm>
          <a:off x="10121153" y="797858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Supplier Costs Per Unit</a:t>
          </a:r>
          <a:endParaRPr lang="ar-EG" sz="1400" b="1"/>
        </a:p>
      </xdr:txBody>
    </xdr:sp>
    <xdr:clientData/>
  </xdr:twoCellAnchor>
  <xdr:twoCellAnchor>
    <xdr:from>
      <xdr:col>10</xdr:col>
      <xdr:colOff>378759</xdr:colOff>
      <xdr:row>4</xdr:row>
      <xdr:rowOff>20171</xdr:rowOff>
    </xdr:from>
    <xdr:to>
      <xdr:col>13</xdr:col>
      <xdr:colOff>236082</xdr:colOff>
      <xdr:row>9</xdr:row>
      <xdr:rowOff>131700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FA44B19-C82B-4EC0-B714-9756F8E61A3D}"/>
            </a:ext>
          </a:extLst>
        </xdr:cNvPr>
        <xdr:cNvSpPr/>
      </xdr:nvSpPr>
      <xdr:spPr>
        <a:xfrm>
          <a:off x="7214347" y="737347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Average Supplier Lead Time</a:t>
          </a:r>
          <a:endParaRPr lang="ar-EG" sz="1400" b="1"/>
        </a:p>
      </xdr:txBody>
    </xdr:sp>
    <xdr:clientData/>
  </xdr:twoCellAnchor>
  <xdr:twoCellAnchor>
    <xdr:from>
      <xdr:col>6</xdr:col>
      <xdr:colOff>271181</xdr:colOff>
      <xdr:row>3</xdr:row>
      <xdr:rowOff>170331</xdr:rowOff>
    </xdr:from>
    <xdr:to>
      <xdr:col>9</xdr:col>
      <xdr:colOff>128505</xdr:colOff>
      <xdr:row>9</xdr:row>
      <xdr:rowOff>102566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92F2CE3-CE0E-4AC0-BAB7-A6870DF80DBF}"/>
            </a:ext>
          </a:extLst>
        </xdr:cNvPr>
        <xdr:cNvSpPr/>
      </xdr:nvSpPr>
      <xdr:spPr>
        <a:xfrm>
          <a:off x="4372534" y="708213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Production Share By Supplier</a:t>
          </a:r>
          <a:endParaRPr lang="ar-EG" sz="1400" b="1"/>
        </a:p>
      </xdr:txBody>
    </xdr:sp>
    <xdr:clientData/>
  </xdr:twoCellAnchor>
  <xdr:twoCellAnchor>
    <xdr:from>
      <xdr:col>0</xdr:col>
      <xdr:colOff>494450</xdr:colOff>
      <xdr:row>6</xdr:row>
      <xdr:rowOff>98506</xdr:rowOff>
    </xdr:from>
    <xdr:to>
      <xdr:col>1</xdr:col>
      <xdr:colOff>324974</xdr:colOff>
      <xdr:row>22</xdr:row>
      <xdr:rowOff>123263</xdr:rowOff>
    </xdr:to>
    <xdr:sp macro="" textlink="">
      <xdr:nvSpPr>
        <xdr:cNvPr id="12" name="Flowchart: Manual Operation 13">
          <a:extLst>
            <a:ext uri="{FF2B5EF4-FFF2-40B4-BE49-F238E27FC236}">
              <a16:creationId xmlns:a16="http://schemas.microsoft.com/office/drawing/2014/main" id="{E2F7CACF-EBB3-4CD5-8D1F-FDD697BF79DC}"/>
            </a:ext>
          </a:extLst>
        </xdr:cNvPr>
        <xdr:cNvSpPr/>
      </xdr:nvSpPr>
      <xdr:spPr>
        <a:xfrm rot="16200000">
          <a:off x="-695240" y="2363961"/>
          <a:ext cx="2893463" cy="51408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620 w 10000"/>
            <a:gd name="connsiteY5" fmla="*/ 5422 h 10000"/>
            <a:gd name="connsiteX6" fmla="*/ 0 w 10000"/>
            <a:gd name="connsiteY6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00" h="10000">
              <a:moveTo>
                <a:pt x="0" y="0"/>
              </a:moveTo>
              <a:lnTo>
                <a:pt x="10000" y="0"/>
              </a:lnTo>
              <a:cubicBezTo>
                <a:pt x="9700" y="1662"/>
                <a:pt x="9556" y="4850"/>
                <a:pt x="9256" y="6512"/>
              </a:cubicBezTo>
              <a:lnTo>
                <a:pt x="8000" y="10000"/>
              </a:lnTo>
              <a:lnTo>
                <a:pt x="2000" y="10000"/>
              </a:lnTo>
              <a:cubicBezTo>
                <a:pt x="1656" y="8183"/>
                <a:pt x="964" y="7239"/>
                <a:pt x="620" y="5422"/>
              </a:cubicBezTo>
              <a:cubicBezTo>
                <a:pt x="413" y="3615"/>
                <a:pt x="207" y="1807"/>
                <a:pt x="0" y="0"/>
              </a:cubicBezTo>
              <a:close/>
            </a:path>
          </a:pathLst>
        </a:cu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56029</xdr:colOff>
      <xdr:row>7</xdr:row>
      <xdr:rowOff>67234</xdr:rowOff>
    </xdr:from>
    <xdr:to>
      <xdr:col>9</xdr:col>
      <xdr:colOff>11206</xdr:colOff>
      <xdr:row>8</xdr:row>
      <xdr:rowOff>156882</xdr:rowOff>
    </xdr:to>
    <xdr:sp macro="" textlink="'Descriptive statistics'!G15">
      <xdr:nvSpPr>
        <xdr:cNvPr id="13" name="TextBox 12">
          <a:extLst>
            <a:ext uri="{FF2B5EF4-FFF2-40B4-BE49-F238E27FC236}">
              <a16:creationId xmlns:a16="http://schemas.microsoft.com/office/drawing/2014/main" id="{05F6597A-9A20-4F05-B3CF-61E8ED15400F}"/>
            </a:ext>
          </a:extLst>
        </xdr:cNvPr>
        <xdr:cNvSpPr txBox="1"/>
      </xdr:nvSpPr>
      <xdr:spPr>
        <a:xfrm>
          <a:off x="5524500" y="1322293"/>
          <a:ext cx="638735" cy="2689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3D8FF6F0-B050-45BF-9E30-D1B0A9CCD95A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0.14</a:t>
          </a:fld>
          <a:endParaRPr lang="ar-EG" sz="1400" b="1"/>
        </a:p>
      </xdr:txBody>
    </xdr:sp>
    <xdr:clientData/>
  </xdr:twoCellAnchor>
  <xdr:twoCellAnchor>
    <xdr:from>
      <xdr:col>16</xdr:col>
      <xdr:colOff>280149</xdr:colOff>
      <xdr:row>8</xdr:row>
      <xdr:rowOff>22412</xdr:rowOff>
    </xdr:from>
    <xdr:to>
      <xdr:col>17</xdr:col>
      <xdr:colOff>291354</xdr:colOff>
      <xdr:row>9</xdr:row>
      <xdr:rowOff>112059</xdr:rowOff>
    </xdr:to>
    <xdr:sp macro="" textlink="'Descriptive statistics'!G14">
      <xdr:nvSpPr>
        <xdr:cNvPr id="14" name="TextBox 13">
          <a:extLst>
            <a:ext uri="{FF2B5EF4-FFF2-40B4-BE49-F238E27FC236}">
              <a16:creationId xmlns:a16="http://schemas.microsoft.com/office/drawing/2014/main" id="{8978F72C-2A1E-441E-87D4-C63DFD76836D}"/>
            </a:ext>
          </a:extLst>
        </xdr:cNvPr>
        <xdr:cNvSpPr txBox="1"/>
      </xdr:nvSpPr>
      <xdr:spPr>
        <a:xfrm>
          <a:off x="11217090" y="1456765"/>
          <a:ext cx="694764" cy="26894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CF8654E7-4850-4E13-BA8F-E851A76EDAE1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0.083</a:t>
          </a:fld>
          <a:endParaRPr lang="ar-EG" sz="1400" b="1"/>
        </a:p>
      </xdr:txBody>
    </xdr:sp>
    <xdr:clientData/>
  </xdr:twoCellAnchor>
  <xdr:twoCellAnchor>
    <xdr:from>
      <xdr:col>12</xdr:col>
      <xdr:colOff>112059</xdr:colOff>
      <xdr:row>7</xdr:row>
      <xdr:rowOff>89647</xdr:rowOff>
    </xdr:from>
    <xdr:to>
      <xdr:col>12</xdr:col>
      <xdr:colOff>672353</xdr:colOff>
      <xdr:row>9</xdr:row>
      <xdr:rowOff>22412</xdr:rowOff>
    </xdr:to>
    <xdr:sp macro="" textlink="'Descriptive statistics'!G13">
      <xdr:nvSpPr>
        <xdr:cNvPr id="15" name="TextBox 14">
          <a:extLst>
            <a:ext uri="{FF2B5EF4-FFF2-40B4-BE49-F238E27FC236}">
              <a16:creationId xmlns:a16="http://schemas.microsoft.com/office/drawing/2014/main" id="{49C3722A-989D-47FE-8DB3-96D65C122B18}"/>
            </a:ext>
          </a:extLst>
        </xdr:cNvPr>
        <xdr:cNvSpPr txBox="1"/>
      </xdr:nvSpPr>
      <xdr:spPr>
        <a:xfrm>
          <a:off x="8314765" y="1344706"/>
          <a:ext cx="560294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fld id="{71C03BC1-FA5F-4A4A-B344-F0C5B6911971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20.13</a:t>
          </a:fld>
          <a:endParaRPr lang="ar-EG" sz="1400" b="1"/>
        </a:p>
      </xdr:txBody>
    </xdr:sp>
    <xdr:clientData/>
  </xdr:twoCellAnchor>
  <xdr:twoCellAnchor>
    <xdr:from>
      <xdr:col>7</xdr:col>
      <xdr:colOff>257735</xdr:colOff>
      <xdr:row>1</xdr:row>
      <xdr:rowOff>56030</xdr:rowOff>
    </xdr:from>
    <xdr:to>
      <xdr:col>13</xdr:col>
      <xdr:colOff>201706</xdr:colOff>
      <xdr:row>3</xdr:row>
      <xdr:rowOff>168089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862DD4E6-0B44-4AE7-9E18-BB48717EFB6E}"/>
            </a:ext>
          </a:extLst>
        </xdr:cNvPr>
        <xdr:cNvSpPr/>
      </xdr:nvSpPr>
      <xdr:spPr>
        <a:xfrm>
          <a:off x="5042647" y="235324"/>
          <a:ext cx="4045324" cy="470647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1" anchor="ctr"/>
        <a:lstStyle/>
        <a:p>
          <a:pPr algn="ctr"/>
          <a:r>
            <a:rPr lang="en-US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Supplier &amp; manufacturing performance</a:t>
          </a:r>
          <a:endParaRPr lang="ar-EG" sz="1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347383</xdr:colOff>
      <xdr:row>7</xdr:row>
      <xdr:rowOff>56030</xdr:rowOff>
    </xdr:from>
    <xdr:to>
      <xdr:col>5</xdr:col>
      <xdr:colOff>212912</xdr:colOff>
      <xdr:row>8</xdr:row>
      <xdr:rowOff>134471</xdr:rowOff>
    </xdr:to>
    <xdr:sp macro="" textlink="'Descriptive statistics'!G16">
      <xdr:nvSpPr>
        <xdr:cNvPr id="17" name="TextBox 16">
          <a:extLst>
            <a:ext uri="{FF2B5EF4-FFF2-40B4-BE49-F238E27FC236}">
              <a16:creationId xmlns:a16="http://schemas.microsoft.com/office/drawing/2014/main" id="{2C094DCE-A32A-4D75-BCE7-6A5EC9BF643E}"/>
            </a:ext>
          </a:extLst>
        </xdr:cNvPr>
        <xdr:cNvSpPr txBox="1"/>
      </xdr:nvSpPr>
      <xdr:spPr>
        <a:xfrm>
          <a:off x="3081618" y="1311089"/>
          <a:ext cx="549088" cy="257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CAE87682-B361-421D-97BB-63E8ED0D91E1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0.43</a:t>
          </a:fld>
          <a:endParaRPr lang="ar-EG" sz="1400" b="1"/>
        </a:p>
      </xdr:txBody>
    </xdr:sp>
    <xdr:clientData/>
  </xdr:twoCellAnchor>
  <xdr:twoCellAnchor>
    <xdr:from>
      <xdr:col>3</xdr:col>
      <xdr:colOff>33617</xdr:colOff>
      <xdr:row>6</xdr:row>
      <xdr:rowOff>123265</xdr:rowOff>
    </xdr:from>
    <xdr:to>
      <xdr:col>3</xdr:col>
      <xdr:colOff>448236</xdr:colOff>
      <xdr:row>8</xdr:row>
      <xdr:rowOff>106457</xdr:rowOff>
    </xdr:to>
    <xdr:sp macro="" textlink="">
      <xdr:nvSpPr>
        <xdr:cNvPr id="22529" name="Text Box 1">
          <a:extLst>
            <a:ext uri="{FF2B5EF4-FFF2-40B4-BE49-F238E27FC236}">
              <a16:creationId xmlns:a16="http://schemas.microsoft.com/office/drawing/2014/main" id="{B582CA80-B819-43C7-AB00-5C7F1A5A5262}"/>
            </a:ext>
          </a:extLst>
        </xdr:cNvPr>
        <xdr:cNvSpPr txBox="1">
          <a:spLocks noChangeArrowheads="1"/>
        </xdr:cNvSpPr>
      </xdr:nvSpPr>
      <xdr:spPr bwMode="auto">
        <a:xfrm>
          <a:off x="2084293" y="1199030"/>
          <a:ext cx="414619" cy="341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⏰</a:t>
          </a:r>
        </a:p>
      </xdr:txBody>
    </xdr:sp>
    <xdr:clientData/>
  </xdr:twoCellAnchor>
  <xdr:twoCellAnchor>
    <xdr:from>
      <xdr:col>6</xdr:col>
      <xdr:colOff>425822</xdr:colOff>
      <xdr:row>7</xdr:row>
      <xdr:rowOff>22411</xdr:rowOff>
    </xdr:from>
    <xdr:to>
      <xdr:col>7</xdr:col>
      <xdr:colOff>229719</xdr:colOff>
      <xdr:row>9</xdr:row>
      <xdr:rowOff>5603</xdr:rowOff>
    </xdr:to>
    <xdr:sp macro="" textlink="">
      <xdr:nvSpPr>
        <xdr:cNvPr id="22530" name="Text Box 2">
          <a:extLst>
            <a:ext uri="{FF2B5EF4-FFF2-40B4-BE49-F238E27FC236}">
              <a16:creationId xmlns:a16="http://schemas.microsoft.com/office/drawing/2014/main" id="{5C1670BF-8884-4237-A71E-306E35562C87}"/>
            </a:ext>
          </a:extLst>
        </xdr:cNvPr>
        <xdr:cNvSpPr txBox="1">
          <a:spLocks noChangeArrowheads="1"/>
        </xdr:cNvSpPr>
      </xdr:nvSpPr>
      <xdr:spPr bwMode="auto">
        <a:xfrm>
          <a:off x="4527175" y="1277470"/>
          <a:ext cx="487456" cy="341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🏭</a:t>
          </a:r>
        </a:p>
      </xdr:txBody>
    </xdr:sp>
    <xdr:clientData/>
  </xdr:twoCellAnchor>
  <xdr:twoCellAnchor>
    <xdr:from>
      <xdr:col>10</xdr:col>
      <xdr:colOff>582706</xdr:colOff>
      <xdr:row>7</xdr:row>
      <xdr:rowOff>56029</xdr:rowOff>
    </xdr:from>
    <xdr:to>
      <xdr:col>11</xdr:col>
      <xdr:colOff>324971</xdr:colOff>
      <xdr:row>9</xdr:row>
      <xdr:rowOff>56030</xdr:rowOff>
    </xdr:to>
    <xdr:sp macro="" textlink="">
      <xdr:nvSpPr>
        <xdr:cNvPr id="22531" name="Text Box 3">
          <a:extLst>
            <a:ext uri="{FF2B5EF4-FFF2-40B4-BE49-F238E27FC236}">
              <a16:creationId xmlns:a16="http://schemas.microsoft.com/office/drawing/2014/main" id="{DDD3C47D-21E5-4463-BF3E-A23EA8E1F31C}"/>
            </a:ext>
          </a:extLst>
        </xdr:cNvPr>
        <xdr:cNvSpPr txBox="1">
          <a:spLocks noChangeArrowheads="1"/>
        </xdr:cNvSpPr>
      </xdr:nvSpPr>
      <xdr:spPr bwMode="auto">
        <a:xfrm>
          <a:off x="7418294" y="1311088"/>
          <a:ext cx="425824" cy="35858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⏱️</a:t>
          </a:r>
        </a:p>
      </xdr:txBody>
    </xdr:sp>
    <xdr:clientData/>
  </xdr:twoCellAnchor>
  <xdr:twoCellAnchor>
    <xdr:from>
      <xdr:col>14</xdr:col>
      <xdr:colOff>638736</xdr:colOff>
      <xdr:row>7</xdr:row>
      <xdr:rowOff>134471</xdr:rowOff>
    </xdr:from>
    <xdr:to>
      <xdr:col>15</xdr:col>
      <xdr:colOff>437031</xdr:colOff>
      <xdr:row>9</xdr:row>
      <xdr:rowOff>117663</xdr:rowOff>
    </xdr:to>
    <xdr:sp macro="" textlink="">
      <xdr:nvSpPr>
        <xdr:cNvPr id="22532" name="Text Box 4">
          <a:extLst>
            <a:ext uri="{FF2B5EF4-FFF2-40B4-BE49-F238E27FC236}">
              <a16:creationId xmlns:a16="http://schemas.microsoft.com/office/drawing/2014/main" id="{B20F8583-3FD9-43FE-A12B-455312A70172}"/>
            </a:ext>
          </a:extLst>
        </xdr:cNvPr>
        <xdr:cNvSpPr txBox="1">
          <a:spLocks noChangeArrowheads="1"/>
        </xdr:cNvSpPr>
      </xdr:nvSpPr>
      <xdr:spPr bwMode="auto">
        <a:xfrm>
          <a:off x="10208560" y="1389530"/>
          <a:ext cx="481853" cy="3417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💲</a:t>
          </a:r>
        </a:p>
      </xdr:txBody>
    </xdr:sp>
    <xdr:clientData/>
  </xdr:twoCellAnchor>
  <xdr:twoCellAnchor>
    <xdr:from>
      <xdr:col>2</xdr:col>
      <xdr:colOff>593912</xdr:colOff>
      <xdr:row>10</xdr:row>
      <xdr:rowOff>112059</xdr:rowOff>
    </xdr:from>
    <xdr:to>
      <xdr:col>7</xdr:col>
      <xdr:colOff>515470</xdr:colOff>
      <xdr:row>26</xdr:row>
      <xdr:rowOff>67235</xdr:rowOff>
    </xdr:to>
    <xdr:graphicFrame macro="">
      <xdr:nvGraphicFramePr>
        <xdr:cNvPr id="28" name="Average Lead Time by Supplier">
          <a:extLst>
            <a:ext uri="{FF2B5EF4-FFF2-40B4-BE49-F238E27FC236}">
              <a16:creationId xmlns:a16="http://schemas.microsoft.com/office/drawing/2014/main" id="{1312B8E6-4FE0-4ABD-8FD3-8EF28493E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549088</xdr:colOff>
      <xdr:row>10</xdr:row>
      <xdr:rowOff>145677</xdr:rowOff>
    </xdr:from>
    <xdr:to>
      <xdr:col>13</xdr:col>
      <xdr:colOff>336176</xdr:colOff>
      <xdr:row>26</xdr:row>
      <xdr:rowOff>100853</xdr:rowOff>
    </xdr:to>
    <xdr:graphicFrame macro="">
      <xdr:nvGraphicFramePr>
        <xdr:cNvPr id="29" name="Production Volume by Supplier">
          <a:extLst>
            <a:ext uri="{FF2B5EF4-FFF2-40B4-BE49-F238E27FC236}">
              <a16:creationId xmlns:a16="http://schemas.microsoft.com/office/drawing/2014/main" id="{4AAAAC75-72D2-4E73-ABA8-D1D3C37080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381001</xdr:colOff>
      <xdr:row>10</xdr:row>
      <xdr:rowOff>112059</xdr:rowOff>
    </xdr:from>
    <xdr:to>
      <xdr:col>18</xdr:col>
      <xdr:colOff>78443</xdr:colOff>
      <xdr:row>26</xdr:row>
      <xdr:rowOff>89647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047FA46-60B8-4C27-862A-1D1F120145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550480</xdr:colOff>
      <xdr:row>7</xdr:row>
      <xdr:rowOff>176947</xdr:rowOff>
    </xdr:from>
    <xdr:to>
      <xdr:col>1</xdr:col>
      <xdr:colOff>247921</xdr:colOff>
      <xdr:row>11</xdr:row>
      <xdr:rowOff>8858</xdr:rowOff>
    </xdr:to>
    <xdr:pic>
      <xdr:nvPicPr>
        <xdr:cNvPr id="31" name="Picture 3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9E2EA10-1D63-44D2-BED3-302E597B9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480" y="1432006"/>
          <a:ext cx="381000" cy="549087"/>
        </a:xfrm>
        <a:prstGeom prst="rect">
          <a:avLst/>
        </a:prstGeom>
      </xdr:spPr>
    </xdr:pic>
    <xdr:clientData/>
  </xdr:twoCellAnchor>
  <xdr:twoCellAnchor editAs="oneCell">
    <xdr:from>
      <xdr:col>0</xdr:col>
      <xdr:colOff>448238</xdr:colOff>
      <xdr:row>10</xdr:row>
      <xdr:rowOff>112060</xdr:rowOff>
    </xdr:from>
    <xdr:to>
      <xdr:col>1</xdr:col>
      <xdr:colOff>224119</xdr:colOff>
      <xdr:row>13</xdr:row>
      <xdr:rowOff>78441</xdr:rowOff>
    </xdr:to>
    <xdr:pic>
      <xdr:nvPicPr>
        <xdr:cNvPr id="21" name="Picture 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3D7E0CA-0F73-4C12-817C-4BFBC504F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38" y="1905001"/>
          <a:ext cx="459440" cy="504264"/>
        </a:xfrm>
        <a:prstGeom prst="rect">
          <a:avLst/>
        </a:prstGeom>
      </xdr:spPr>
    </xdr:pic>
    <xdr:clientData/>
  </xdr:twoCellAnchor>
  <xdr:twoCellAnchor editAs="oneCell">
    <xdr:from>
      <xdr:col>0</xdr:col>
      <xdr:colOff>437032</xdr:colOff>
      <xdr:row>13</xdr:row>
      <xdr:rowOff>123265</xdr:rowOff>
    </xdr:from>
    <xdr:to>
      <xdr:col>1</xdr:col>
      <xdr:colOff>212912</xdr:colOff>
      <xdr:row>16</xdr:row>
      <xdr:rowOff>67236</xdr:rowOff>
    </xdr:to>
    <xdr:pic>
      <xdr:nvPicPr>
        <xdr:cNvPr id="23" name="Picture 2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D1F37C4-7626-4401-8735-CECBF626A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032" y="2454089"/>
          <a:ext cx="459439" cy="481853"/>
        </a:xfrm>
        <a:prstGeom prst="rect">
          <a:avLst/>
        </a:prstGeom>
      </xdr:spPr>
    </xdr:pic>
    <xdr:clientData/>
  </xdr:twoCellAnchor>
  <xdr:twoCellAnchor editAs="oneCell">
    <xdr:from>
      <xdr:col>0</xdr:col>
      <xdr:colOff>539273</xdr:colOff>
      <xdr:row>16</xdr:row>
      <xdr:rowOff>109712</xdr:rowOff>
    </xdr:from>
    <xdr:to>
      <xdr:col>1</xdr:col>
      <xdr:colOff>259126</xdr:colOff>
      <xdr:row>18</xdr:row>
      <xdr:rowOff>165741</xdr:rowOff>
    </xdr:to>
    <xdr:pic>
      <xdr:nvPicPr>
        <xdr:cNvPr id="34" name="Picture 3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BBDD4EF-187C-46B6-89D8-D7BA96DC3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273" y="2978418"/>
          <a:ext cx="403412" cy="414617"/>
        </a:xfrm>
        <a:prstGeom prst="rect">
          <a:avLst/>
        </a:prstGeom>
      </xdr:spPr>
    </xdr:pic>
    <xdr:clientData/>
  </xdr:twoCellAnchor>
  <xdr:twoCellAnchor editAs="oneCell">
    <xdr:from>
      <xdr:col>0</xdr:col>
      <xdr:colOff>460833</xdr:colOff>
      <xdr:row>18</xdr:row>
      <xdr:rowOff>154536</xdr:rowOff>
    </xdr:from>
    <xdr:to>
      <xdr:col>1</xdr:col>
      <xdr:colOff>214304</xdr:colOff>
      <xdr:row>21</xdr:row>
      <xdr:rowOff>42477</xdr:rowOff>
    </xdr:to>
    <xdr:pic>
      <xdr:nvPicPr>
        <xdr:cNvPr id="35" name="Picture 3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2641CA8-27ED-4588-B4C4-08E78B35C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833" y="3381830"/>
          <a:ext cx="437030" cy="4258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100853</xdr:colOff>
      <xdr:row>26</xdr:row>
      <xdr:rowOff>11206</xdr:rowOff>
    </xdr:to>
    <xdr:sp macro="" textlink="">
      <xdr:nvSpPr>
        <xdr:cNvPr id="2" name="Right Triangle 2">
          <a:extLst>
            <a:ext uri="{FF2B5EF4-FFF2-40B4-BE49-F238E27FC236}">
              <a16:creationId xmlns:a16="http://schemas.microsoft.com/office/drawing/2014/main" id="{257FF8FE-FC14-470A-AAA1-01F5D159A90C}"/>
            </a:ext>
          </a:extLst>
        </xdr:cNvPr>
        <xdr:cNvSpPr/>
      </xdr:nvSpPr>
      <xdr:spPr>
        <a:xfrm rot="5400000">
          <a:off x="-250451" y="250451"/>
          <a:ext cx="4716556" cy="4215653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56030</xdr:colOff>
      <xdr:row>21</xdr:row>
      <xdr:rowOff>89648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EED0D1A7-D2D8-44FF-863E-824D9F75C004}"/>
            </a:ext>
          </a:extLst>
        </xdr:cNvPr>
        <xdr:cNvSpPr/>
      </xdr:nvSpPr>
      <xdr:spPr>
        <a:xfrm rot="5400000">
          <a:off x="-202547" y="202547"/>
          <a:ext cx="3890123" cy="3485030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4">
            <a:lumMod val="75000"/>
            <a:alpha val="29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</xdr:col>
      <xdr:colOff>89649</xdr:colOff>
      <xdr:row>15</xdr:row>
      <xdr:rowOff>78444</xdr:rowOff>
    </xdr:to>
    <xdr:sp macro="" textlink="">
      <xdr:nvSpPr>
        <xdr:cNvPr id="4" name="Right Triangle 2">
          <a:extLst>
            <a:ext uri="{FF2B5EF4-FFF2-40B4-BE49-F238E27FC236}">
              <a16:creationId xmlns:a16="http://schemas.microsoft.com/office/drawing/2014/main" id="{D83A4261-030C-4AFE-A4F2-FEA525405130}"/>
            </a:ext>
          </a:extLst>
        </xdr:cNvPr>
        <xdr:cNvSpPr/>
      </xdr:nvSpPr>
      <xdr:spPr>
        <a:xfrm rot="5400000">
          <a:off x="19891" y="-19890"/>
          <a:ext cx="2793068" cy="2832849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75000"/>
            <a:alpha val="17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1</xdr:col>
      <xdr:colOff>78441</xdr:colOff>
      <xdr:row>1</xdr:row>
      <xdr:rowOff>56030</xdr:rowOff>
    </xdr:from>
    <xdr:to>
      <xdr:col>18</xdr:col>
      <xdr:colOff>481853</xdr:colOff>
      <xdr:row>27</xdr:row>
      <xdr:rowOff>125648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B12A880-821F-443E-89BC-B677CD33A386}"/>
            </a:ext>
          </a:extLst>
        </xdr:cNvPr>
        <xdr:cNvSpPr/>
      </xdr:nvSpPr>
      <xdr:spPr>
        <a:xfrm>
          <a:off x="762000" y="235324"/>
          <a:ext cx="12023912" cy="4731265"/>
        </a:xfrm>
        <a:prstGeom prst="roundRect">
          <a:avLst/>
        </a:prstGeom>
        <a:ln>
          <a:noFill/>
        </a:ln>
        <a:effectLst>
          <a:glow rad="127000">
            <a:schemeClr val="accent1"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  <a:reflection blurRad="88900" stA="45000" endPos="34000" dist="1016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8</xdr:col>
      <xdr:colOff>347381</xdr:colOff>
      <xdr:row>3</xdr:row>
      <xdr:rowOff>67236</xdr:rowOff>
    </xdr:from>
    <xdr:to>
      <xdr:col>11</xdr:col>
      <xdr:colOff>204705</xdr:colOff>
      <xdr:row>8</xdr:row>
      <xdr:rowOff>178765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8670B2F-0F4D-4F93-8DC8-6A4A4D355566}"/>
            </a:ext>
          </a:extLst>
        </xdr:cNvPr>
        <xdr:cNvSpPr/>
      </xdr:nvSpPr>
      <xdr:spPr>
        <a:xfrm>
          <a:off x="5815852" y="605118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Average Shipping Time</a:t>
          </a:r>
          <a:endParaRPr lang="ar-EG" sz="1400" b="1"/>
        </a:p>
      </xdr:txBody>
    </xdr:sp>
    <xdr:clientData/>
  </xdr:twoCellAnchor>
  <xdr:twoCellAnchor>
    <xdr:from>
      <xdr:col>11</xdr:col>
      <xdr:colOff>510987</xdr:colOff>
      <xdr:row>3</xdr:row>
      <xdr:rowOff>85165</xdr:rowOff>
    </xdr:from>
    <xdr:to>
      <xdr:col>14</xdr:col>
      <xdr:colOff>368310</xdr:colOff>
      <xdr:row>9</xdr:row>
      <xdr:rowOff>17400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5BCCCCA-7FF9-450B-87AA-FBB712F95EFE}"/>
            </a:ext>
          </a:extLst>
        </xdr:cNvPr>
        <xdr:cNvSpPr/>
      </xdr:nvSpPr>
      <xdr:spPr>
        <a:xfrm>
          <a:off x="8030134" y="623047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Cost Per Transportation Mode</a:t>
          </a:r>
          <a:endParaRPr lang="ar-EG" sz="1400" b="1"/>
        </a:p>
      </xdr:txBody>
    </xdr:sp>
    <xdr:clientData/>
  </xdr:twoCellAnchor>
  <xdr:twoCellAnchor>
    <xdr:from>
      <xdr:col>15</xdr:col>
      <xdr:colOff>147919</xdr:colOff>
      <xdr:row>3</xdr:row>
      <xdr:rowOff>103094</xdr:rowOff>
    </xdr:from>
    <xdr:to>
      <xdr:col>18</xdr:col>
      <xdr:colOff>5242</xdr:colOff>
      <xdr:row>9</xdr:row>
      <xdr:rowOff>35329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6285C5F-C525-41EE-A6AF-35FAA662E7BD}"/>
            </a:ext>
          </a:extLst>
        </xdr:cNvPr>
        <xdr:cNvSpPr/>
      </xdr:nvSpPr>
      <xdr:spPr>
        <a:xfrm>
          <a:off x="10401301" y="640976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Lead Time Variability </a:t>
          </a:r>
          <a:endParaRPr lang="ar-EG" sz="1400" b="1"/>
        </a:p>
      </xdr:txBody>
    </xdr:sp>
    <xdr:clientData/>
  </xdr:twoCellAnchor>
  <xdr:twoCellAnchor>
    <xdr:from>
      <xdr:col>5</xdr:col>
      <xdr:colOff>141194</xdr:colOff>
      <xdr:row>3</xdr:row>
      <xdr:rowOff>51549</xdr:rowOff>
    </xdr:from>
    <xdr:to>
      <xdr:col>7</xdr:col>
      <xdr:colOff>682076</xdr:colOff>
      <xdr:row>8</xdr:row>
      <xdr:rowOff>163078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B2D7662-15B8-4B80-A069-710588A4D6C4}"/>
            </a:ext>
          </a:extLst>
        </xdr:cNvPr>
        <xdr:cNvSpPr/>
      </xdr:nvSpPr>
      <xdr:spPr>
        <a:xfrm>
          <a:off x="3558988" y="589431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Sipping Cost Per Unit</a:t>
          </a:r>
          <a:endParaRPr lang="ar-EG" sz="1400" b="1"/>
        </a:p>
      </xdr:txBody>
    </xdr:sp>
    <xdr:clientData/>
  </xdr:twoCellAnchor>
  <xdr:twoCellAnchor>
    <xdr:from>
      <xdr:col>2</xdr:col>
      <xdr:colOff>114297</xdr:colOff>
      <xdr:row>3</xdr:row>
      <xdr:rowOff>24655</xdr:rowOff>
    </xdr:from>
    <xdr:to>
      <xdr:col>4</xdr:col>
      <xdr:colOff>655180</xdr:colOff>
      <xdr:row>8</xdr:row>
      <xdr:rowOff>136184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3E00C1D-B22A-4EB6-B1A3-A0B7D81CBEE6}"/>
            </a:ext>
          </a:extLst>
        </xdr:cNvPr>
        <xdr:cNvSpPr/>
      </xdr:nvSpPr>
      <xdr:spPr>
        <a:xfrm>
          <a:off x="1481415" y="562537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Average Shipping Cost</a:t>
          </a:r>
          <a:endParaRPr lang="ar-EG" sz="1400" b="1"/>
        </a:p>
      </xdr:txBody>
    </xdr:sp>
    <xdr:clientData/>
  </xdr:twoCellAnchor>
  <xdr:twoCellAnchor>
    <xdr:from>
      <xdr:col>1</xdr:col>
      <xdr:colOff>78444</xdr:colOff>
      <xdr:row>6</xdr:row>
      <xdr:rowOff>53680</xdr:rowOff>
    </xdr:from>
    <xdr:to>
      <xdr:col>1</xdr:col>
      <xdr:colOff>616326</xdr:colOff>
      <xdr:row>22</xdr:row>
      <xdr:rowOff>78437</xdr:rowOff>
    </xdr:to>
    <xdr:sp macro="" textlink="">
      <xdr:nvSpPr>
        <xdr:cNvPr id="12" name="Flowchart: Manual Operation 13">
          <a:extLst>
            <a:ext uri="{FF2B5EF4-FFF2-40B4-BE49-F238E27FC236}">
              <a16:creationId xmlns:a16="http://schemas.microsoft.com/office/drawing/2014/main" id="{C86784C8-5D4F-4004-AA08-5ED5647AF1A0}"/>
            </a:ext>
          </a:extLst>
        </xdr:cNvPr>
        <xdr:cNvSpPr/>
      </xdr:nvSpPr>
      <xdr:spPr>
        <a:xfrm rot="16200000">
          <a:off x="-415788" y="2307236"/>
          <a:ext cx="2893463" cy="537882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620 w 10000"/>
            <a:gd name="connsiteY5" fmla="*/ 5422 h 10000"/>
            <a:gd name="connsiteX6" fmla="*/ 0 w 10000"/>
            <a:gd name="connsiteY6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00" h="10000">
              <a:moveTo>
                <a:pt x="0" y="0"/>
              </a:moveTo>
              <a:lnTo>
                <a:pt x="10000" y="0"/>
              </a:lnTo>
              <a:cubicBezTo>
                <a:pt x="9700" y="1662"/>
                <a:pt x="9556" y="4850"/>
                <a:pt x="9256" y="6512"/>
              </a:cubicBezTo>
              <a:lnTo>
                <a:pt x="8000" y="10000"/>
              </a:lnTo>
              <a:lnTo>
                <a:pt x="2000" y="10000"/>
              </a:lnTo>
              <a:cubicBezTo>
                <a:pt x="1656" y="8183"/>
                <a:pt x="964" y="7239"/>
                <a:pt x="620" y="5422"/>
              </a:cubicBezTo>
              <a:cubicBezTo>
                <a:pt x="413" y="3615"/>
                <a:pt x="207" y="1807"/>
                <a:pt x="0" y="0"/>
              </a:cubicBezTo>
              <a:close/>
            </a:path>
          </a:pathLst>
        </a:cu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3</xdr:col>
      <xdr:colOff>638735</xdr:colOff>
      <xdr:row>6</xdr:row>
      <xdr:rowOff>134470</xdr:rowOff>
    </xdr:from>
    <xdr:to>
      <xdr:col>4</xdr:col>
      <xdr:colOff>504265</xdr:colOff>
      <xdr:row>8</xdr:row>
      <xdr:rowOff>33618</xdr:rowOff>
    </xdr:to>
    <xdr:sp macro="" textlink="'Descriptive statistics'!G18">
      <xdr:nvSpPr>
        <xdr:cNvPr id="13" name="TextBox 12">
          <a:extLst>
            <a:ext uri="{FF2B5EF4-FFF2-40B4-BE49-F238E27FC236}">
              <a16:creationId xmlns:a16="http://schemas.microsoft.com/office/drawing/2014/main" id="{8C22558D-27F9-4BF2-A8A1-2564F570144E}"/>
            </a:ext>
          </a:extLst>
        </xdr:cNvPr>
        <xdr:cNvSpPr txBox="1"/>
      </xdr:nvSpPr>
      <xdr:spPr>
        <a:xfrm>
          <a:off x="2689411" y="1210235"/>
          <a:ext cx="549089" cy="2577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ACE08C66-60AF-490D-A0DB-7BC23619F259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5.55</a:t>
          </a:fld>
          <a:endParaRPr lang="ar-EG" sz="1400" b="1"/>
        </a:p>
      </xdr:txBody>
    </xdr:sp>
    <xdr:clientData/>
  </xdr:twoCellAnchor>
  <xdr:twoCellAnchor>
    <xdr:from>
      <xdr:col>6</xdr:col>
      <xdr:colOff>616323</xdr:colOff>
      <xdr:row>6</xdr:row>
      <xdr:rowOff>123265</xdr:rowOff>
    </xdr:from>
    <xdr:to>
      <xdr:col>7</xdr:col>
      <xdr:colOff>560294</xdr:colOff>
      <xdr:row>8</xdr:row>
      <xdr:rowOff>56030</xdr:rowOff>
    </xdr:to>
    <xdr:sp macro="" textlink="'Descriptive statistics'!G19">
      <xdr:nvSpPr>
        <xdr:cNvPr id="16" name="TextBox 15">
          <a:extLst>
            <a:ext uri="{FF2B5EF4-FFF2-40B4-BE49-F238E27FC236}">
              <a16:creationId xmlns:a16="http://schemas.microsoft.com/office/drawing/2014/main" id="{3C641CCE-1C2B-4BAE-9E88-0DB1497A20CE}"/>
            </a:ext>
          </a:extLst>
        </xdr:cNvPr>
        <xdr:cNvSpPr txBox="1"/>
      </xdr:nvSpPr>
      <xdr:spPr>
        <a:xfrm>
          <a:off x="4717676" y="1199030"/>
          <a:ext cx="627530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124E3632-57AA-4509-9CDD-98D34FE70CBC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0.01</a:t>
          </a:fld>
          <a:endParaRPr lang="ar-EG" sz="1400" b="1"/>
        </a:p>
      </xdr:txBody>
    </xdr:sp>
    <xdr:clientData/>
  </xdr:twoCellAnchor>
  <xdr:twoCellAnchor>
    <xdr:from>
      <xdr:col>10</xdr:col>
      <xdr:colOff>67235</xdr:colOff>
      <xdr:row>6</xdr:row>
      <xdr:rowOff>112058</xdr:rowOff>
    </xdr:from>
    <xdr:to>
      <xdr:col>10</xdr:col>
      <xdr:colOff>683558</xdr:colOff>
      <xdr:row>8</xdr:row>
      <xdr:rowOff>56029</xdr:rowOff>
    </xdr:to>
    <xdr:sp macro="" textlink="'Descriptive statistics'!G20">
      <xdr:nvSpPr>
        <xdr:cNvPr id="17" name="TextBox 16">
          <a:extLst>
            <a:ext uri="{FF2B5EF4-FFF2-40B4-BE49-F238E27FC236}">
              <a16:creationId xmlns:a16="http://schemas.microsoft.com/office/drawing/2014/main" id="{3AD13698-ECA5-4847-A1A2-5DE5FE282132}"/>
            </a:ext>
          </a:extLst>
        </xdr:cNvPr>
        <xdr:cNvSpPr txBox="1"/>
      </xdr:nvSpPr>
      <xdr:spPr>
        <a:xfrm>
          <a:off x="6902823" y="1187823"/>
          <a:ext cx="616323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88738347-1AA6-448C-9944-9FB278EC3ACA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5.75</a:t>
          </a:fld>
          <a:endParaRPr lang="ar-EG" sz="1400" b="1"/>
        </a:p>
      </xdr:txBody>
    </xdr:sp>
    <xdr:clientData/>
  </xdr:twoCellAnchor>
  <xdr:twoCellAnchor>
    <xdr:from>
      <xdr:col>13</xdr:col>
      <xdr:colOff>190500</xdr:colOff>
      <xdr:row>6</xdr:row>
      <xdr:rowOff>145676</xdr:rowOff>
    </xdr:from>
    <xdr:to>
      <xdr:col>14</xdr:col>
      <xdr:colOff>257735</xdr:colOff>
      <xdr:row>8</xdr:row>
      <xdr:rowOff>78442</xdr:rowOff>
    </xdr:to>
    <xdr:sp macro="" textlink="'Descriptive statistics'!G21">
      <xdr:nvSpPr>
        <xdr:cNvPr id="18" name="TextBox 17">
          <a:extLst>
            <a:ext uri="{FF2B5EF4-FFF2-40B4-BE49-F238E27FC236}">
              <a16:creationId xmlns:a16="http://schemas.microsoft.com/office/drawing/2014/main" id="{653A30A0-978B-465D-AB37-7482DACAAF7E}"/>
            </a:ext>
          </a:extLst>
        </xdr:cNvPr>
        <xdr:cNvSpPr txBox="1"/>
      </xdr:nvSpPr>
      <xdr:spPr>
        <a:xfrm>
          <a:off x="9076765" y="1221441"/>
          <a:ext cx="750794" cy="2913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F6E62375-11E2-4D06-A4F0-E3066A9FD89A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160.73</a:t>
          </a:fld>
          <a:endParaRPr lang="ar-EG" sz="1400" b="1"/>
        </a:p>
      </xdr:txBody>
    </xdr:sp>
    <xdr:clientData/>
  </xdr:twoCellAnchor>
  <xdr:twoCellAnchor>
    <xdr:from>
      <xdr:col>16</xdr:col>
      <xdr:colOff>392205</xdr:colOff>
      <xdr:row>6</xdr:row>
      <xdr:rowOff>168089</xdr:rowOff>
    </xdr:from>
    <xdr:to>
      <xdr:col>17</xdr:col>
      <xdr:colOff>493058</xdr:colOff>
      <xdr:row>8</xdr:row>
      <xdr:rowOff>100853</xdr:rowOff>
    </xdr:to>
    <xdr:sp macro="" textlink="'Descriptive statistics'!G22">
      <xdr:nvSpPr>
        <xdr:cNvPr id="19" name="TextBox 18">
          <a:extLst>
            <a:ext uri="{FF2B5EF4-FFF2-40B4-BE49-F238E27FC236}">
              <a16:creationId xmlns:a16="http://schemas.microsoft.com/office/drawing/2014/main" id="{FFFB0A70-F32B-46CA-8102-54328B30A042}"/>
            </a:ext>
          </a:extLst>
        </xdr:cNvPr>
        <xdr:cNvSpPr txBox="1"/>
      </xdr:nvSpPr>
      <xdr:spPr>
        <a:xfrm>
          <a:off x="11329146" y="1243854"/>
          <a:ext cx="784412" cy="2913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D0B2FB36-54C6-4BED-9A34-0CE962177DF9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8.802</a:t>
          </a:fld>
          <a:endParaRPr lang="ar-EG" sz="1400" b="1"/>
        </a:p>
      </xdr:txBody>
    </xdr:sp>
    <xdr:clientData/>
  </xdr:twoCellAnchor>
  <xdr:twoCellAnchor>
    <xdr:from>
      <xdr:col>2</xdr:col>
      <xdr:colOff>145675</xdr:colOff>
      <xdr:row>6</xdr:row>
      <xdr:rowOff>89648</xdr:rowOff>
    </xdr:from>
    <xdr:to>
      <xdr:col>3</xdr:col>
      <xdr:colOff>78440</xdr:colOff>
      <xdr:row>8</xdr:row>
      <xdr:rowOff>100854</xdr:rowOff>
    </xdr:to>
    <xdr:sp macro="" textlink="">
      <xdr:nvSpPr>
        <xdr:cNvPr id="23553" name="Text Box 1">
          <a:extLst>
            <a:ext uri="{FF2B5EF4-FFF2-40B4-BE49-F238E27FC236}">
              <a16:creationId xmlns:a16="http://schemas.microsoft.com/office/drawing/2014/main" id="{59F5362B-6C40-4687-B905-11BFD5467B9D}"/>
            </a:ext>
          </a:extLst>
        </xdr:cNvPr>
        <xdr:cNvSpPr txBox="1">
          <a:spLocks noChangeArrowheads="1"/>
        </xdr:cNvSpPr>
      </xdr:nvSpPr>
      <xdr:spPr bwMode="auto">
        <a:xfrm>
          <a:off x="1512793" y="1165413"/>
          <a:ext cx="616323" cy="369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🚚📉</a:t>
          </a:r>
        </a:p>
      </xdr:txBody>
    </xdr:sp>
    <xdr:clientData/>
  </xdr:twoCellAnchor>
  <xdr:twoCellAnchor>
    <xdr:from>
      <xdr:col>5</xdr:col>
      <xdr:colOff>302558</xdr:colOff>
      <xdr:row>6</xdr:row>
      <xdr:rowOff>89645</xdr:rowOff>
    </xdr:from>
    <xdr:to>
      <xdr:col>6</xdr:col>
      <xdr:colOff>201705</xdr:colOff>
      <xdr:row>8</xdr:row>
      <xdr:rowOff>112058</xdr:rowOff>
    </xdr:to>
    <xdr:sp macro="" textlink="">
      <xdr:nvSpPr>
        <xdr:cNvPr id="23554" name="Text Box 2">
          <a:extLst>
            <a:ext uri="{FF2B5EF4-FFF2-40B4-BE49-F238E27FC236}">
              <a16:creationId xmlns:a16="http://schemas.microsoft.com/office/drawing/2014/main" id="{1B783BFB-6E36-483B-8AA6-B6666A3391F1}"/>
            </a:ext>
          </a:extLst>
        </xdr:cNvPr>
        <xdr:cNvSpPr txBox="1">
          <a:spLocks noChangeArrowheads="1"/>
        </xdr:cNvSpPr>
      </xdr:nvSpPr>
      <xdr:spPr bwMode="auto">
        <a:xfrm>
          <a:off x="3720352" y="1165410"/>
          <a:ext cx="582706" cy="3810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⚖️📦</a:t>
          </a:r>
        </a:p>
      </xdr:txBody>
    </xdr:sp>
    <xdr:clientData/>
  </xdr:twoCellAnchor>
  <xdr:twoCellAnchor>
    <xdr:from>
      <xdr:col>8</xdr:col>
      <xdr:colOff>526676</xdr:colOff>
      <xdr:row>6</xdr:row>
      <xdr:rowOff>78441</xdr:rowOff>
    </xdr:from>
    <xdr:to>
      <xdr:col>9</xdr:col>
      <xdr:colOff>509868</xdr:colOff>
      <xdr:row>8</xdr:row>
      <xdr:rowOff>67236</xdr:rowOff>
    </xdr:to>
    <xdr:sp macro="" textlink="">
      <xdr:nvSpPr>
        <xdr:cNvPr id="23555" name="Text Box 3">
          <a:extLst>
            <a:ext uri="{FF2B5EF4-FFF2-40B4-BE49-F238E27FC236}">
              <a16:creationId xmlns:a16="http://schemas.microsoft.com/office/drawing/2014/main" id="{69D0B703-FE7A-40BB-9FE3-ABBE20558FC5}"/>
            </a:ext>
          </a:extLst>
        </xdr:cNvPr>
        <xdr:cNvSpPr txBox="1">
          <a:spLocks noChangeArrowheads="1"/>
        </xdr:cNvSpPr>
      </xdr:nvSpPr>
      <xdr:spPr bwMode="auto">
        <a:xfrm>
          <a:off x="5995147" y="1154206"/>
          <a:ext cx="666750" cy="347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🚚⚡</a:t>
          </a:r>
        </a:p>
      </xdr:txBody>
    </xdr:sp>
    <xdr:clientData/>
  </xdr:twoCellAnchor>
  <xdr:twoCellAnchor>
    <xdr:from>
      <xdr:col>11</xdr:col>
      <xdr:colOff>616324</xdr:colOff>
      <xdr:row>6</xdr:row>
      <xdr:rowOff>123265</xdr:rowOff>
    </xdr:from>
    <xdr:to>
      <xdr:col>13</xdr:col>
      <xdr:colOff>67236</xdr:colOff>
      <xdr:row>8</xdr:row>
      <xdr:rowOff>112060</xdr:rowOff>
    </xdr:to>
    <xdr:sp macro="" textlink="">
      <xdr:nvSpPr>
        <xdr:cNvPr id="23556" name="Text Box 4">
          <a:extLst>
            <a:ext uri="{FF2B5EF4-FFF2-40B4-BE49-F238E27FC236}">
              <a16:creationId xmlns:a16="http://schemas.microsoft.com/office/drawing/2014/main" id="{19C770F0-0594-41A7-9D35-D7415C86A164}"/>
            </a:ext>
          </a:extLst>
        </xdr:cNvPr>
        <xdr:cNvSpPr txBox="1">
          <a:spLocks noChangeArrowheads="1"/>
        </xdr:cNvSpPr>
      </xdr:nvSpPr>
      <xdr:spPr bwMode="auto">
        <a:xfrm>
          <a:off x="8135471" y="1199030"/>
          <a:ext cx="818030" cy="3473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Arial"/>
              <a:cs typeface="Arial"/>
            </a:rPr>
            <a:t>📊🚚✈️</a:t>
          </a:r>
        </a:p>
      </xdr:txBody>
    </xdr:sp>
    <xdr:clientData/>
  </xdr:twoCellAnchor>
  <xdr:twoCellAnchor>
    <xdr:from>
      <xdr:col>15</xdr:col>
      <xdr:colOff>224117</xdr:colOff>
      <xdr:row>6</xdr:row>
      <xdr:rowOff>145677</xdr:rowOff>
    </xdr:from>
    <xdr:to>
      <xdr:col>16</xdr:col>
      <xdr:colOff>72837</xdr:colOff>
      <xdr:row>8</xdr:row>
      <xdr:rowOff>156883</xdr:rowOff>
    </xdr:to>
    <xdr:sp macro="" textlink="">
      <xdr:nvSpPr>
        <xdr:cNvPr id="23557" name="Text Box 5">
          <a:extLst>
            <a:ext uri="{FF2B5EF4-FFF2-40B4-BE49-F238E27FC236}">
              <a16:creationId xmlns:a16="http://schemas.microsoft.com/office/drawing/2014/main" id="{FE5BC46E-39F8-4A8F-893C-07AEDA6E3F99}"/>
            </a:ext>
          </a:extLst>
        </xdr:cNvPr>
        <xdr:cNvSpPr txBox="1">
          <a:spLocks noChangeArrowheads="1"/>
        </xdr:cNvSpPr>
      </xdr:nvSpPr>
      <xdr:spPr bwMode="auto">
        <a:xfrm>
          <a:off x="10477499" y="1221442"/>
          <a:ext cx="532279" cy="369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⏱</a:t>
          </a:r>
        </a:p>
      </xdr:txBody>
    </xdr:sp>
    <xdr:clientData/>
  </xdr:twoCellAnchor>
  <xdr:twoCellAnchor>
    <xdr:from>
      <xdr:col>6</xdr:col>
      <xdr:colOff>638735</xdr:colOff>
      <xdr:row>0</xdr:row>
      <xdr:rowOff>168087</xdr:rowOff>
    </xdr:from>
    <xdr:to>
      <xdr:col>13</xdr:col>
      <xdr:colOff>67235</xdr:colOff>
      <xdr:row>3</xdr:row>
      <xdr:rowOff>22411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8A90964D-4830-40BB-BC03-66A655291D36}"/>
            </a:ext>
          </a:extLst>
        </xdr:cNvPr>
        <xdr:cNvSpPr/>
      </xdr:nvSpPr>
      <xdr:spPr>
        <a:xfrm>
          <a:off x="4740088" y="168087"/>
          <a:ext cx="4213412" cy="392206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Logistic &amp; Transportation</a:t>
          </a:r>
          <a:endParaRPr lang="ar-EG" sz="1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168089</xdr:colOff>
      <xdr:row>9</xdr:row>
      <xdr:rowOff>136151</xdr:rowOff>
    </xdr:from>
    <xdr:to>
      <xdr:col>6</xdr:col>
      <xdr:colOff>67236</xdr:colOff>
      <xdr:row>27</xdr:row>
      <xdr:rowOff>22411</xdr:rowOff>
    </xdr:to>
    <xdr:graphicFrame macro="">
      <xdr:nvGraphicFramePr>
        <xdr:cNvPr id="30" name="Shipping Costs per Transportation Mode">
          <a:extLst>
            <a:ext uri="{FF2B5EF4-FFF2-40B4-BE49-F238E27FC236}">
              <a16:creationId xmlns:a16="http://schemas.microsoft.com/office/drawing/2014/main" id="{6D1FE6B0-8A12-4443-9998-3FA4CF1D6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168088</xdr:colOff>
      <xdr:row>9</xdr:row>
      <xdr:rowOff>136152</xdr:rowOff>
    </xdr:from>
    <xdr:to>
      <xdr:col>9</xdr:col>
      <xdr:colOff>347383</xdr:colOff>
      <xdr:row>27</xdr:row>
      <xdr:rowOff>22411</xdr:rowOff>
    </xdr:to>
    <xdr:graphicFrame macro="">
      <xdr:nvGraphicFramePr>
        <xdr:cNvPr id="31" name="Impact of Route on Shipping Times">
          <a:extLst>
            <a:ext uri="{FF2B5EF4-FFF2-40B4-BE49-F238E27FC236}">
              <a16:creationId xmlns:a16="http://schemas.microsoft.com/office/drawing/2014/main" id="{77940A65-5765-4A9C-A527-5B267D129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392207</xdr:colOff>
      <xdr:row>9</xdr:row>
      <xdr:rowOff>147357</xdr:rowOff>
    </xdr:from>
    <xdr:to>
      <xdr:col>13</xdr:col>
      <xdr:colOff>549088</xdr:colOff>
      <xdr:row>26</xdr:row>
      <xdr:rowOff>179293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76E5F9C3-7151-4F48-8BCA-5646CD6AE5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605117</xdr:colOff>
      <xdr:row>9</xdr:row>
      <xdr:rowOff>134471</xdr:rowOff>
    </xdr:from>
    <xdr:to>
      <xdr:col>18</xdr:col>
      <xdr:colOff>123265</xdr:colOff>
      <xdr:row>26</xdr:row>
      <xdr:rowOff>145677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5869DADE-FD3A-46A1-A61D-F2978AFFEA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112062</xdr:colOff>
      <xdr:row>7</xdr:row>
      <xdr:rowOff>64886</xdr:rowOff>
    </xdr:from>
    <xdr:to>
      <xdr:col>1</xdr:col>
      <xdr:colOff>493062</xdr:colOff>
      <xdr:row>10</xdr:row>
      <xdr:rowOff>76091</xdr:rowOff>
    </xdr:to>
    <xdr:pic>
      <xdr:nvPicPr>
        <xdr:cNvPr id="34" name="Picture 3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86A9CD8-6532-4172-956D-DF84892E8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21" y="1319945"/>
          <a:ext cx="381000" cy="549087"/>
        </a:xfrm>
        <a:prstGeom prst="rect">
          <a:avLst/>
        </a:prstGeom>
      </xdr:spPr>
    </xdr:pic>
    <xdr:clientData/>
  </xdr:twoCellAnchor>
  <xdr:twoCellAnchor editAs="oneCell">
    <xdr:from>
      <xdr:col>1</xdr:col>
      <xdr:colOff>123268</xdr:colOff>
      <xdr:row>9</xdr:row>
      <xdr:rowOff>156882</xdr:rowOff>
    </xdr:from>
    <xdr:to>
      <xdr:col>1</xdr:col>
      <xdr:colOff>537883</xdr:colOff>
      <xdr:row>12</xdr:row>
      <xdr:rowOff>112059</xdr:rowOff>
    </xdr:to>
    <xdr:pic>
      <xdr:nvPicPr>
        <xdr:cNvPr id="20" name="Picture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6630B53-820E-4F38-BA1F-DCF7F54A5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7" y="1770529"/>
          <a:ext cx="414615" cy="493059"/>
        </a:xfrm>
        <a:prstGeom prst="rect">
          <a:avLst/>
        </a:prstGeom>
      </xdr:spPr>
    </xdr:pic>
    <xdr:clientData/>
  </xdr:twoCellAnchor>
  <xdr:twoCellAnchor editAs="oneCell">
    <xdr:from>
      <xdr:col>1</xdr:col>
      <xdr:colOff>89650</xdr:colOff>
      <xdr:row>12</xdr:row>
      <xdr:rowOff>143328</xdr:rowOff>
    </xdr:from>
    <xdr:to>
      <xdr:col>1</xdr:col>
      <xdr:colOff>549089</xdr:colOff>
      <xdr:row>15</xdr:row>
      <xdr:rowOff>87298</xdr:rowOff>
    </xdr:to>
    <xdr:pic>
      <xdr:nvPicPr>
        <xdr:cNvPr id="35" name="Picture 3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CC4E42-34A2-4EEE-9EE5-0E1CFADDB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209" y="2294857"/>
          <a:ext cx="459439" cy="481853"/>
        </a:xfrm>
        <a:prstGeom prst="rect">
          <a:avLst/>
        </a:prstGeom>
      </xdr:spPr>
    </xdr:pic>
    <xdr:clientData/>
  </xdr:twoCellAnchor>
  <xdr:twoCellAnchor editAs="oneCell">
    <xdr:from>
      <xdr:col>1</xdr:col>
      <xdr:colOff>168091</xdr:colOff>
      <xdr:row>15</xdr:row>
      <xdr:rowOff>109710</xdr:rowOff>
    </xdr:from>
    <xdr:to>
      <xdr:col>1</xdr:col>
      <xdr:colOff>571503</xdr:colOff>
      <xdr:row>17</xdr:row>
      <xdr:rowOff>165739</xdr:rowOff>
    </xdr:to>
    <xdr:pic>
      <xdr:nvPicPr>
        <xdr:cNvPr id="36" name="Picture 3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7429E13-343B-4BCB-BFDD-02BFF8F6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1650" y="2799122"/>
          <a:ext cx="403412" cy="414617"/>
        </a:xfrm>
        <a:prstGeom prst="rect">
          <a:avLst/>
        </a:prstGeom>
      </xdr:spPr>
    </xdr:pic>
    <xdr:clientData/>
  </xdr:twoCellAnchor>
  <xdr:twoCellAnchor editAs="oneCell">
    <xdr:from>
      <xdr:col>1</xdr:col>
      <xdr:colOff>78443</xdr:colOff>
      <xdr:row>17</xdr:row>
      <xdr:rowOff>168089</xdr:rowOff>
    </xdr:from>
    <xdr:to>
      <xdr:col>1</xdr:col>
      <xdr:colOff>515473</xdr:colOff>
      <xdr:row>20</xdr:row>
      <xdr:rowOff>56030</xdr:rowOff>
    </xdr:to>
    <xdr:pic>
      <xdr:nvPicPr>
        <xdr:cNvPr id="37" name="Picture 3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D23EF5A-FF65-4B5F-9E6F-80ECCDC47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2" y="3216089"/>
          <a:ext cx="437030" cy="42582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100853</xdr:colOff>
      <xdr:row>26</xdr:row>
      <xdr:rowOff>11206</xdr:rowOff>
    </xdr:to>
    <xdr:sp macro="" textlink="">
      <xdr:nvSpPr>
        <xdr:cNvPr id="2" name="Right Triangle 2">
          <a:extLst>
            <a:ext uri="{FF2B5EF4-FFF2-40B4-BE49-F238E27FC236}">
              <a16:creationId xmlns:a16="http://schemas.microsoft.com/office/drawing/2014/main" id="{D55D92F8-AC9D-41E4-A357-F8837A7B431E}"/>
            </a:ext>
          </a:extLst>
        </xdr:cNvPr>
        <xdr:cNvSpPr/>
      </xdr:nvSpPr>
      <xdr:spPr>
        <a:xfrm rot="5400000">
          <a:off x="-250451" y="250451"/>
          <a:ext cx="4716556" cy="4215653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56030</xdr:colOff>
      <xdr:row>21</xdr:row>
      <xdr:rowOff>89648</xdr:rowOff>
    </xdr:to>
    <xdr:sp macro="" textlink="">
      <xdr:nvSpPr>
        <xdr:cNvPr id="3" name="Right Triangle 2">
          <a:extLst>
            <a:ext uri="{FF2B5EF4-FFF2-40B4-BE49-F238E27FC236}">
              <a16:creationId xmlns:a16="http://schemas.microsoft.com/office/drawing/2014/main" id="{8B74096D-57CE-4577-BCE3-FA0372CB1E96}"/>
            </a:ext>
          </a:extLst>
        </xdr:cNvPr>
        <xdr:cNvSpPr/>
      </xdr:nvSpPr>
      <xdr:spPr>
        <a:xfrm rot="5400000">
          <a:off x="-202547" y="202547"/>
          <a:ext cx="3890123" cy="3485030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4">
            <a:lumMod val="75000"/>
            <a:alpha val="29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4</xdr:col>
      <xdr:colOff>89649</xdr:colOff>
      <xdr:row>15</xdr:row>
      <xdr:rowOff>78444</xdr:rowOff>
    </xdr:to>
    <xdr:sp macro="" textlink="">
      <xdr:nvSpPr>
        <xdr:cNvPr id="4" name="Right Triangle 2">
          <a:extLst>
            <a:ext uri="{FF2B5EF4-FFF2-40B4-BE49-F238E27FC236}">
              <a16:creationId xmlns:a16="http://schemas.microsoft.com/office/drawing/2014/main" id="{59DF68D9-AE0B-4A78-83DF-1D200F1B390B}"/>
            </a:ext>
          </a:extLst>
        </xdr:cNvPr>
        <xdr:cNvSpPr/>
      </xdr:nvSpPr>
      <xdr:spPr>
        <a:xfrm rot="5400000">
          <a:off x="19891" y="-19890"/>
          <a:ext cx="2793068" cy="2832849"/>
        </a:xfrm>
        <a:custGeom>
          <a:avLst/>
          <a:gdLst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2723029 w 2723029"/>
            <a:gd name="connsiteY2" fmla="*/ 3216088 h 3216088"/>
            <a:gd name="connsiteX3" fmla="*/ 0 w 2723029"/>
            <a:gd name="connsiteY3" fmla="*/ 3216088 h 3216088"/>
            <a:gd name="connsiteX0" fmla="*/ 0 w 2723029"/>
            <a:gd name="connsiteY0" fmla="*/ 3216088 h 3216088"/>
            <a:gd name="connsiteX1" fmla="*/ 0 w 2723029"/>
            <a:gd name="connsiteY1" fmla="*/ 0 h 3216088"/>
            <a:gd name="connsiteX2" fmla="*/ 1445558 w 2723029"/>
            <a:gd name="connsiteY2" fmla="*/ 2162735 h 3216088"/>
            <a:gd name="connsiteX3" fmla="*/ 2723029 w 2723029"/>
            <a:gd name="connsiteY3" fmla="*/ 3216088 h 3216088"/>
            <a:gd name="connsiteX4" fmla="*/ 0 w 2723029"/>
            <a:gd name="connsiteY4" fmla="*/ 3216088 h 3216088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723029 w 2723029"/>
            <a:gd name="connsiteY4" fmla="*/ 3326483 h 3326483"/>
            <a:gd name="connsiteX5" fmla="*/ 0 w 2723029"/>
            <a:gd name="connsiteY5" fmla="*/ 3326483 h 3326483"/>
            <a:gd name="connsiteX0" fmla="*/ 0 w 2723029"/>
            <a:gd name="connsiteY0" fmla="*/ 3326483 h 3326483"/>
            <a:gd name="connsiteX1" fmla="*/ 0 w 2723029"/>
            <a:gd name="connsiteY1" fmla="*/ 110395 h 3326483"/>
            <a:gd name="connsiteX2" fmla="*/ 571502 w 2723029"/>
            <a:gd name="connsiteY2" fmla="*/ 917218 h 3326483"/>
            <a:gd name="connsiteX3" fmla="*/ 1445558 w 2723029"/>
            <a:gd name="connsiteY3" fmla="*/ 2273130 h 3326483"/>
            <a:gd name="connsiteX4" fmla="*/ 2151529 w 2723029"/>
            <a:gd name="connsiteY4" fmla="*/ 2642924 h 3326483"/>
            <a:gd name="connsiteX5" fmla="*/ 2723029 w 2723029"/>
            <a:gd name="connsiteY5" fmla="*/ 3326483 h 3326483"/>
            <a:gd name="connsiteX6" fmla="*/ 0 w 2723029"/>
            <a:gd name="connsiteY6" fmla="*/ 3326483 h 332648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723029" h="3326483">
              <a:moveTo>
                <a:pt x="0" y="3326483"/>
              </a:moveTo>
              <a:lnTo>
                <a:pt x="0" y="110395"/>
              </a:lnTo>
              <a:cubicBezTo>
                <a:pt x="80309" y="-304223"/>
                <a:pt x="330576" y="556762"/>
                <a:pt x="571502" y="917218"/>
              </a:cubicBezTo>
              <a:cubicBezTo>
                <a:pt x="812428" y="1277674"/>
                <a:pt x="1193426" y="1961233"/>
                <a:pt x="1445558" y="2273130"/>
              </a:cubicBezTo>
              <a:cubicBezTo>
                <a:pt x="1658470" y="2444954"/>
                <a:pt x="1938617" y="2471100"/>
                <a:pt x="2151529" y="2642924"/>
              </a:cubicBezTo>
              <a:lnTo>
                <a:pt x="2723029" y="3326483"/>
              </a:lnTo>
              <a:lnTo>
                <a:pt x="0" y="3326483"/>
              </a:lnTo>
              <a:close/>
            </a:path>
          </a:pathLst>
        </a:custGeom>
        <a:solidFill>
          <a:schemeClr val="accent6">
            <a:lumMod val="75000"/>
            <a:alpha val="17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EG" sz="1100">
            <a:ln>
              <a:noFill/>
            </a:ln>
            <a:noFill/>
          </a:endParaRPr>
        </a:p>
      </xdr:txBody>
    </xdr:sp>
    <xdr:clientData/>
  </xdr:twoCellAnchor>
  <xdr:twoCellAnchor>
    <xdr:from>
      <xdr:col>1</xdr:col>
      <xdr:colOff>156884</xdr:colOff>
      <xdr:row>1</xdr:row>
      <xdr:rowOff>78442</xdr:rowOff>
    </xdr:from>
    <xdr:to>
      <xdr:col>18</xdr:col>
      <xdr:colOff>78441</xdr:colOff>
      <xdr:row>27</xdr:row>
      <xdr:rowOff>148060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CD933FC-5BEE-4454-B641-18D7320DADC0}"/>
            </a:ext>
          </a:extLst>
        </xdr:cNvPr>
        <xdr:cNvSpPr/>
      </xdr:nvSpPr>
      <xdr:spPr>
        <a:xfrm>
          <a:off x="840443" y="257736"/>
          <a:ext cx="11542057" cy="4731265"/>
        </a:xfrm>
        <a:prstGeom prst="roundRect">
          <a:avLst/>
        </a:prstGeom>
        <a:ln>
          <a:noFill/>
        </a:ln>
        <a:effectLst>
          <a:glow rad="127000">
            <a:schemeClr val="accent1"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  <a:reflection blurRad="88900" stA="45000" endPos="34000" dist="101600" dir="5400000" sy="-100000" algn="bl" rotWithShape="0"/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5</xdr:col>
      <xdr:colOff>145676</xdr:colOff>
      <xdr:row>2</xdr:row>
      <xdr:rowOff>156882</xdr:rowOff>
    </xdr:from>
    <xdr:to>
      <xdr:col>8</xdr:col>
      <xdr:colOff>2999</xdr:colOff>
      <xdr:row>8</xdr:row>
      <xdr:rowOff>89117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F9ADE4F-8824-4C76-B907-B266276CAD5E}"/>
            </a:ext>
          </a:extLst>
        </xdr:cNvPr>
        <xdr:cNvSpPr/>
      </xdr:nvSpPr>
      <xdr:spPr>
        <a:xfrm>
          <a:off x="3563470" y="515470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Cost Per SKU</a:t>
          </a:r>
          <a:endParaRPr lang="ar-EG" sz="1400" b="1"/>
        </a:p>
      </xdr:txBody>
    </xdr:sp>
    <xdr:clientData/>
  </xdr:twoCellAnchor>
  <xdr:twoCellAnchor>
    <xdr:from>
      <xdr:col>8</xdr:col>
      <xdr:colOff>174810</xdr:colOff>
      <xdr:row>2</xdr:row>
      <xdr:rowOff>174812</xdr:rowOff>
    </xdr:from>
    <xdr:to>
      <xdr:col>11</xdr:col>
      <xdr:colOff>32134</xdr:colOff>
      <xdr:row>8</xdr:row>
      <xdr:rowOff>107047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431EC00-AEB0-471C-B740-049965FA70FD}"/>
            </a:ext>
          </a:extLst>
        </xdr:cNvPr>
        <xdr:cNvSpPr/>
      </xdr:nvSpPr>
      <xdr:spPr>
        <a:xfrm>
          <a:off x="5643281" y="533400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Average Defect Rates</a:t>
          </a:r>
          <a:endParaRPr lang="ar-EG" sz="1400" b="1"/>
        </a:p>
      </xdr:txBody>
    </xdr:sp>
    <xdr:clientData/>
  </xdr:twoCellAnchor>
  <xdr:twoCellAnchor>
    <xdr:from>
      <xdr:col>11</xdr:col>
      <xdr:colOff>237565</xdr:colOff>
      <xdr:row>3</xdr:row>
      <xdr:rowOff>47065</xdr:rowOff>
    </xdr:from>
    <xdr:to>
      <xdr:col>14</xdr:col>
      <xdr:colOff>94888</xdr:colOff>
      <xdr:row>8</xdr:row>
      <xdr:rowOff>158594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DF9862B-257D-4C20-BD65-B45C6CDF0A6C}"/>
            </a:ext>
          </a:extLst>
        </xdr:cNvPr>
        <xdr:cNvSpPr/>
      </xdr:nvSpPr>
      <xdr:spPr>
        <a:xfrm>
          <a:off x="7756712" y="584947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Revenue at Risk (Due to Lead Time)</a:t>
          </a:r>
          <a:endParaRPr lang="ar-EG" sz="1400" b="1"/>
        </a:p>
      </xdr:txBody>
    </xdr:sp>
    <xdr:clientData/>
  </xdr:twoCellAnchor>
  <xdr:twoCellAnchor>
    <xdr:from>
      <xdr:col>14</xdr:col>
      <xdr:colOff>255493</xdr:colOff>
      <xdr:row>3</xdr:row>
      <xdr:rowOff>42584</xdr:rowOff>
    </xdr:from>
    <xdr:to>
      <xdr:col>17</xdr:col>
      <xdr:colOff>112817</xdr:colOff>
      <xdr:row>8</xdr:row>
      <xdr:rowOff>154113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51B0AE5-8386-46BB-8E50-D2A1132E82F3}"/>
            </a:ext>
          </a:extLst>
        </xdr:cNvPr>
        <xdr:cNvSpPr/>
      </xdr:nvSpPr>
      <xdr:spPr>
        <a:xfrm>
          <a:off x="9825317" y="580466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Quality Pass Rate</a:t>
          </a:r>
          <a:endParaRPr lang="ar-EG" sz="1400" b="1"/>
        </a:p>
      </xdr:txBody>
    </xdr:sp>
    <xdr:clientData/>
  </xdr:twoCellAnchor>
  <xdr:twoCellAnchor>
    <xdr:from>
      <xdr:col>2</xdr:col>
      <xdr:colOff>125504</xdr:colOff>
      <xdr:row>2</xdr:row>
      <xdr:rowOff>159125</xdr:rowOff>
    </xdr:from>
    <xdr:to>
      <xdr:col>4</xdr:col>
      <xdr:colOff>666387</xdr:colOff>
      <xdr:row>8</xdr:row>
      <xdr:rowOff>91360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78467A4-662D-4387-BACA-14A0F352A840}"/>
            </a:ext>
          </a:extLst>
        </xdr:cNvPr>
        <xdr:cNvSpPr/>
      </xdr:nvSpPr>
      <xdr:spPr>
        <a:xfrm>
          <a:off x="1492622" y="517713"/>
          <a:ext cx="1908000" cy="1008000"/>
        </a:xfrm>
        <a:prstGeom prst="roundRect">
          <a:avLst/>
        </a:prstGeom>
        <a:solidFill>
          <a:schemeClr val="lt1">
            <a:alpha val="94000"/>
          </a:schemeClr>
        </a:solidFill>
        <a:effectLst>
          <a:outerShdw blurRad="254000" sx="98000" sy="98000" algn="ctr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400" b="1"/>
            <a:t>Total Cost</a:t>
          </a:r>
          <a:endParaRPr lang="ar-EG" sz="1400" b="1"/>
        </a:p>
      </xdr:txBody>
    </xdr:sp>
    <xdr:clientData/>
  </xdr:twoCellAnchor>
  <xdr:twoCellAnchor>
    <xdr:from>
      <xdr:col>1</xdr:col>
      <xdr:colOff>147068</xdr:colOff>
      <xdr:row>7</xdr:row>
      <xdr:rowOff>64889</xdr:rowOff>
    </xdr:from>
    <xdr:to>
      <xdr:col>1</xdr:col>
      <xdr:colOff>661151</xdr:colOff>
      <xdr:row>23</xdr:row>
      <xdr:rowOff>89646</xdr:rowOff>
    </xdr:to>
    <xdr:sp macro="" textlink="">
      <xdr:nvSpPr>
        <xdr:cNvPr id="12" name="Flowchart: Manual Operation 13">
          <a:extLst>
            <a:ext uri="{FF2B5EF4-FFF2-40B4-BE49-F238E27FC236}">
              <a16:creationId xmlns:a16="http://schemas.microsoft.com/office/drawing/2014/main" id="{AAFA0985-B347-4DD5-9435-675E7F20F910}"/>
            </a:ext>
          </a:extLst>
        </xdr:cNvPr>
        <xdr:cNvSpPr/>
      </xdr:nvSpPr>
      <xdr:spPr>
        <a:xfrm rot="16200000">
          <a:off x="-359063" y="2509638"/>
          <a:ext cx="2893463" cy="51408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8000 w 10000"/>
            <a:gd name="connsiteY2" fmla="*/ 10000 h 10000"/>
            <a:gd name="connsiteX3" fmla="*/ 200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9256 w 10000"/>
            <a:gd name="connsiteY2" fmla="*/ 6512 h 10000"/>
            <a:gd name="connsiteX3" fmla="*/ 8000 w 10000"/>
            <a:gd name="connsiteY3" fmla="*/ 10000 h 10000"/>
            <a:gd name="connsiteX4" fmla="*/ 2000 w 10000"/>
            <a:gd name="connsiteY4" fmla="*/ 10000 h 10000"/>
            <a:gd name="connsiteX5" fmla="*/ 620 w 10000"/>
            <a:gd name="connsiteY5" fmla="*/ 5422 h 10000"/>
            <a:gd name="connsiteX6" fmla="*/ 0 w 10000"/>
            <a:gd name="connsiteY6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000" h="10000">
              <a:moveTo>
                <a:pt x="0" y="0"/>
              </a:moveTo>
              <a:lnTo>
                <a:pt x="10000" y="0"/>
              </a:lnTo>
              <a:cubicBezTo>
                <a:pt x="9700" y="1662"/>
                <a:pt x="9556" y="4850"/>
                <a:pt x="9256" y="6512"/>
              </a:cubicBezTo>
              <a:lnTo>
                <a:pt x="8000" y="10000"/>
              </a:lnTo>
              <a:lnTo>
                <a:pt x="2000" y="10000"/>
              </a:lnTo>
              <a:cubicBezTo>
                <a:pt x="1656" y="8183"/>
                <a:pt x="964" y="7239"/>
                <a:pt x="620" y="5422"/>
              </a:cubicBezTo>
              <a:cubicBezTo>
                <a:pt x="413" y="3615"/>
                <a:pt x="207" y="1807"/>
                <a:pt x="0" y="0"/>
              </a:cubicBezTo>
              <a:close/>
            </a:path>
          </a:pathLst>
        </a:cu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l"/>
          <a:endParaRPr lang="ar-EG" sz="1100"/>
        </a:p>
      </xdr:txBody>
    </xdr:sp>
    <xdr:clientData/>
  </xdr:twoCellAnchor>
  <xdr:twoCellAnchor>
    <xdr:from>
      <xdr:col>3</xdr:col>
      <xdr:colOff>201707</xdr:colOff>
      <xdr:row>6</xdr:row>
      <xdr:rowOff>33617</xdr:rowOff>
    </xdr:from>
    <xdr:to>
      <xdr:col>4</xdr:col>
      <xdr:colOff>481854</xdr:colOff>
      <xdr:row>7</xdr:row>
      <xdr:rowOff>123265</xdr:rowOff>
    </xdr:to>
    <xdr:sp macro="" textlink="'Descriptive statistics'!G24">
      <xdr:nvSpPr>
        <xdr:cNvPr id="13" name="TextBox 12">
          <a:extLst>
            <a:ext uri="{FF2B5EF4-FFF2-40B4-BE49-F238E27FC236}">
              <a16:creationId xmlns:a16="http://schemas.microsoft.com/office/drawing/2014/main" id="{04AD1234-B075-408A-B348-11C458EF78D3}"/>
            </a:ext>
          </a:extLst>
        </xdr:cNvPr>
        <xdr:cNvSpPr txBox="1"/>
      </xdr:nvSpPr>
      <xdr:spPr>
        <a:xfrm>
          <a:off x="2252383" y="1109382"/>
          <a:ext cx="963706" cy="2689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4B294CF3-396A-4482-BF24-1FFAE2A7D3E9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52924.57</a:t>
          </a:fld>
          <a:endParaRPr lang="ar-EG" sz="1400" b="1"/>
        </a:p>
      </xdr:txBody>
    </xdr:sp>
    <xdr:clientData/>
  </xdr:twoCellAnchor>
  <xdr:twoCellAnchor>
    <xdr:from>
      <xdr:col>6</xdr:col>
      <xdr:colOff>470647</xdr:colOff>
      <xdr:row>6</xdr:row>
      <xdr:rowOff>67232</xdr:rowOff>
    </xdr:from>
    <xdr:to>
      <xdr:col>7</xdr:col>
      <xdr:colOff>526677</xdr:colOff>
      <xdr:row>7</xdr:row>
      <xdr:rowOff>168085</xdr:rowOff>
    </xdr:to>
    <xdr:sp macro="" textlink="'Descriptive statistics'!G25">
      <xdr:nvSpPr>
        <xdr:cNvPr id="14" name="TextBox 13">
          <a:extLst>
            <a:ext uri="{FF2B5EF4-FFF2-40B4-BE49-F238E27FC236}">
              <a16:creationId xmlns:a16="http://schemas.microsoft.com/office/drawing/2014/main" id="{A936D616-F92D-447F-A58B-FECAEC98FAA7}"/>
            </a:ext>
          </a:extLst>
        </xdr:cNvPr>
        <xdr:cNvSpPr txBox="1"/>
      </xdr:nvSpPr>
      <xdr:spPr>
        <a:xfrm>
          <a:off x="4572000" y="1142997"/>
          <a:ext cx="739589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4C4C6E60-09E4-4804-9724-C3DE1B517959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187.75</a:t>
          </a:fld>
          <a:endParaRPr lang="ar-EG" sz="1400" b="1"/>
        </a:p>
      </xdr:txBody>
    </xdr:sp>
    <xdr:clientData/>
  </xdr:twoCellAnchor>
  <xdr:twoCellAnchor>
    <xdr:from>
      <xdr:col>9</xdr:col>
      <xdr:colOff>560294</xdr:colOff>
      <xdr:row>6</xdr:row>
      <xdr:rowOff>89646</xdr:rowOff>
    </xdr:from>
    <xdr:to>
      <xdr:col>10</xdr:col>
      <xdr:colOff>537883</xdr:colOff>
      <xdr:row>8</xdr:row>
      <xdr:rowOff>22412</xdr:rowOff>
    </xdr:to>
    <xdr:sp macro="" textlink="'Descriptive statistics'!G26">
      <xdr:nvSpPr>
        <xdr:cNvPr id="15" name="TextBox 14">
          <a:extLst>
            <a:ext uri="{FF2B5EF4-FFF2-40B4-BE49-F238E27FC236}">
              <a16:creationId xmlns:a16="http://schemas.microsoft.com/office/drawing/2014/main" id="{13971044-E99D-4FEE-92EE-8CC36ED33AB4}"/>
            </a:ext>
          </a:extLst>
        </xdr:cNvPr>
        <xdr:cNvSpPr txBox="1"/>
      </xdr:nvSpPr>
      <xdr:spPr>
        <a:xfrm>
          <a:off x="6712323" y="1165411"/>
          <a:ext cx="661148" cy="2913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1C76EF5A-168E-43F8-A172-9EDC7B043FE4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2.28</a:t>
          </a:fld>
          <a:endParaRPr lang="ar-EG" sz="1400" b="1"/>
        </a:p>
      </xdr:txBody>
    </xdr:sp>
    <xdr:clientData/>
  </xdr:twoCellAnchor>
  <xdr:twoCellAnchor>
    <xdr:from>
      <xdr:col>12</xdr:col>
      <xdr:colOff>381000</xdr:colOff>
      <xdr:row>6</xdr:row>
      <xdr:rowOff>134470</xdr:rowOff>
    </xdr:from>
    <xdr:to>
      <xdr:col>13</xdr:col>
      <xdr:colOff>649942</xdr:colOff>
      <xdr:row>8</xdr:row>
      <xdr:rowOff>56029</xdr:rowOff>
    </xdr:to>
    <xdr:sp macro="" textlink="'Descriptive statistics'!G27">
      <xdr:nvSpPr>
        <xdr:cNvPr id="16" name="TextBox 15">
          <a:extLst>
            <a:ext uri="{FF2B5EF4-FFF2-40B4-BE49-F238E27FC236}">
              <a16:creationId xmlns:a16="http://schemas.microsoft.com/office/drawing/2014/main" id="{7FB39A5B-D376-469C-A755-AC0617188407}"/>
            </a:ext>
          </a:extLst>
        </xdr:cNvPr>
        <xdr:cNvSpPr txBox="1"/>
      </xdr:nvSpPr>
      <xdr:spPr>
        <a:xfrm>
          <a:off x="8583706" y="1210235"/>
          <a:ext cx="952501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13A9AD0B-A0E3-4D20-8198-F4FF90A1A16E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5593.84</a:t>
          </a:fld>
          <a:endParaRPr lang="ar-EG" sz="1400" b="1"/>
        </a:p>
      </xdr:txBody>
    </xdr:sp>
    <xdr:clientData/>
  </xdr:twoCellAnchor>
  <xdr:twoCellAnchor>
    <xdr:from>
      <xdr:col>16</xdr:col>
      <xdr:colOff>67236</xdr:colOff>
      <xdr:row>6</xdr:row>
      <xdr:rowOff>145674</xdr:rowOff>
    </xdr:from>
    <xdr:to>
      <xdr:col>16</xdr:col>
      <xdr:colOff>638738</xdr:colOff>
      <xdr:row>8</xdr:row>
      <xdr:rowOff>78439</xdr:rowOff>
    </xdr:to>
    <xdr:sp macro="" textlink="'Descriptive statistics'!G28">
      <xdr:nvSpPr>
        <xdr:cNvPr id="17" name="TextBox 16">
          <a:extLst>
            <a:ext uri="{FF2B5EF4-FFF2-40B4-BE49-F238E27FC236}">
              <a16:creationId xmlns:a16="http://schemas.microsoft.com/office/drawing/2014/main" id="{38FC49F8-DA56-4BD4-9783-D5389A412A11}"/>
            </a:ext>
          </a:extLst>
        </xdr:cNvPr>
        <xdr:cNvSpPr txBox="1"/>
      </xdr:nvSpPr>
      <xdr:spPr>
        <a:xfrm>
          <a:off x="11004177" y="1221439"/>
          <a:ext cx="571502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fld id="{6D83C185-CB89-42DF-8991-05163BFE8DB2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0.23</a:t>
          </a:fld>
          <a:endParaRPr lang="ar-EG" sz="1400" b="1"/>
        </a:p>
      </xdr:txBody>
    </xdr:sp>
    <xdr:clientData/>
  </xdr:twoCellAnchor>
  <xdr:twoCellAnchor>
    <xdr:from>
      <xdr:col>2</xdr:col>
      <xdr:colOff>168089</xdr:colOff>
      <xdr:row>6</xdr:row>
      <xdr:rowOff>22411</xdr:rowOff>
    </xdr:from>
    <xdr:to>
      <xdr:col>2</xdr:col>
      <xdr:colOff>661147</xdr:colOff>
      <xdr:row>7</xdr:row>
      <xdr:rowOff>173691</xdr:rowOff>
    </xdr:to>
    <xdr:sp macro="" textlink="">
      <xdr:nvSpPr>
        <xdr:cNvPr id="24577" name="Text Box 1">
          <a:extLst>
            <a:ext uri="{FF2B5EF4-FFF2-40B4-BE49-F238E27FC236}">
              <a16:creationId xmlns:a16="http://schemas.microsoft.com/office/drawing/2014/main" id="{06C7E3A4-0AD2-4F5C-B1BD-4022FBAE5914}"/>
            </a:ext>
          </a:extLst>
        </xdr:cNvPr>
        <xdr:cNvSpPr txBox="1">
          <a:spLocks noChangeArrowheads="1"/>
        </xdr:cNvSpPr>
      </xdr:nvSpPr>
      <xdr:spPr bwMode="auto">
        <a:xfrm>
          <a:off x="1535207" y="1098176"/>
          <a:ext cx="493058" cy="330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💰</a:t>
          </a:r>
        </a:p>
      </xdr:txBody>
    </xdr:sp>
    <xdr:clientData/>
  </xdr:twoCellAnchor>
  <xdr:twoCellAnchor>
    <xdr:from>
      <xdr:col>5</xdr:col>
      <xdr:colOff>235324</xdr:colOff>
      <xdr:row>5</xdr:row>
      <xdr:rowOff>168088</xdr:rowOff>
    </xdr:from>
    <xdr:to>
      <xdr:col>6</xdr:col>
      <xdr:colOff>218515</xdr:colOff>
      <xdr:row>8</xdr:row>
      <xdr:rowOff>84044</xdr:rowOff>
    </xdr:to>
    <xdr:sp macro="" textlink="">
      <xdr:nvSpPr>
        <xdr:cNvPr id="24578" name="Text Box 2">
          <a:extLst>
            <a:ext uri="{FF2B5EF4-FFF2-40B4-BE49-F238E27FC236}">
              <a16:creationId xmlns:a16="http://schemas.microsoft.com/office/drawing/2014/main" id="{988D84E6-8B7A-48FC-B7BF-2BBDC3246E22}"/>
            </a:ext>
          </a:extLst>
        </xdr:cNvPr>
        <xdr:cNvSpPr txBox="1">
          <a:spLocks noChangeArrowheads="1"/>
        </xdr:cNvSpPr>
      </xdr:nvSpPr>
      <xdr:spPr bwMode="auto">
        <a:xfrm>
          <a:off x="3653118" y="1064559"/>
          <a:ext cx="666750" cy="45383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📊📦💲</a:t>
          </a:r>
        </a:p>
      </xdr:txBody>
    </xdr:sp>
    <xdr:clientData/>
  </xdr:twoCellAnchor>
  <xdr:twoCellAnchor>
    <xdr:from>
      <xdr:col>8</xdr:col>
      <xdr:colOff>302559</xdr:colOff>
      <xdr:row>6</xdr:row>
      <xdr:rowOff>33617</xdr:rowOff>
    </xdr:from>
    <xdr:to>
      <xdr:col>9</xdr:col>
      <xdr:colOff>140075</xdr:colOff>
      <xdr:row>8</xdr:row>
      <xdr:rowOff>28013</xdr:rowOff>
    </xdr:to>
    <xdr:sp macro="" textlink="">
      <xdr:nvSpPr>
        <xdr:cNvPr id="24579" name="Text Box 3">
          <a:extLst>
            <a:ext uri="{FF2B5EF4-FFF2-40B4-BE49-F238E27FC236}">
              <a16:creationId xmlns:a16="http://schemas.microsoft.com/office/drawing/2014/main" id="{D02099E2-4B4D-4F31-AEB5-E2268493611D}"/>
            </a:ext>
          </a:extLst>
        </xdr:cNvPr>
        <xdr:cNvSpPr txBox="1">
          <a:spLocks noChangeArrowheads="1"/>
        </xdr:cNvSpPr>
      </xdr:nvSpPr>
      <xdr:spPr bwMode="auto">
        <a:xfrm>
          <a:off x="5771030" y="1109382"/>
          <a:ext cx="521074" cy="35298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📦</a:t>
          </a:r>
        </a:p>
      </xdr:txBody>
    </xdr:sp>
    <xdr:clientData/>
  </xdr:twoCellAnchor>
  <xdr:twoCellAnchor>
    <xdr:from>
      <xdr:col>11</xdr:col>
      <xdr:colOff>414618</xdr:colOff>
      <xdr:row>6</xdr:row>
      <xdr:rowOff>134471</xdr:rowOff>
    </xdr:from>
    <xdr:to>
      <xdr:col>12</xdr:col>
      <xdr:colOff>397809</xdr:colOff>
      <xdr:row>8</xdr:row>
      <xdr:rowOff>100854</xdr:rowOff>
    </xdr:to>
    <xdr:sp macro="" textlink="">
      <xdr:nvSpPr>
        <xdr:cNvPr id="24580" name="Text Box 4">
          <a:extLst>
            <a:ext uri="{FF2B5EF4-FFF2-40B4-BE49-F238E27FC236}">
              <a16:creationId xmlns:a16="http://schemas.microsoft.com/office/drawing/2014/main" id="{80EB5E72-7B7D-4DD9-A51A-8CF04098DED5}"/>
            </a:ext>
          </a:extLst>
        </xdr:cNvPr>
        <xdr:cNvSpPr txBox="1">
          <a:spLocks noChangeArrowheads="1"/>
        </xdr:cNvSpPr>
      </xdr:nvSpPr>
      <xdr:spPr bwMode="auto">
        <a:xfrm>
          <a:off x="7933765" y="1210236"/>
          <a:ext cx="666750" cy="324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💲⚠️⏱</a:t>
          </a:r>
        </a:p>
      </xdr:txBody>
    </xdr:sp>
    <xdr:clientData/>
  </xdr:twoCellAnchor>
  <xdr:twoCellAnchor>
    <xdr:from>
      <xdr:col>14</xdr:col>
      <xdr:colOff>257736</xdr:colOff>
      <xdr:row>6</xdr:row>
      <xdr:rowOff>33617</xdr:rowOff>
    </xdr:from>
    <xdr:to>
      <xdr:col>15</xdr:col>
      <xdr:colOff>504266</xdr:colOff>
      <xdr:row>8</xdr:row>
      <xdr:rowOff>78441</xdr:rowOff>
    </xdr:to>
    <xdr:sp macro="" textlink="">
      <xdr:nvSpPr>
        <xdr:cNvPr id="24581" name="Text Box 5">
          <a:extLst>
            <a:ext uri="{FF2B5EF4-FFF2-40B4-BE49-F238E27FC236}">
              <a16:creationId xmlns:a16="http://schemas.microsoft.com/office/drawing/2014/main" id="{7E291E6C-56E2-4018-9BDA-431F1691D002}"/>
            </a:ext>
          </a:extLst>
        </xdr:cNvPr>
        <xdr:cNvSpPr txBox="1">
          <a:spLocks noChangeArrowheads="1"/>
        </xdr:cNvSpPr>
      </xdr:nvSpPr>
      <xdr:spPr bwMode="auto">
        <a:xfrm>
          <a:off x="9827560" y="1109382"/>
          <a:ext cx="930088" cy="4034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✅📦📊</a:t>
          </a:r>
        </a:p>
      </xdr:txBody>
    </xdr:sp>
    <xdr:clientData/>
  </xdr:twoCellAnchor>
  <xdr:twoCellAnchor>
    <xdr:from>
      <xdr:col>7</xdr:col>
      <xdr:colOff>190499</xdr:colOff>
      <xdr:row>0</xdr:row>
      <xdr:rowOff>156882</xdr:rowOff>
    </xdr:from>
    <xdr:to>
      <xdr:col>12</xdr:col>
      <xdr:colOff>134470</xdr:colOff>
      <xdr:row>3</xdr:row>
      <xdr:rowOff>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51ECAAC6-F850-4908-80C5-B1242B401057}"/>
            </a:ext>
          </a:extLst>
        </xdr:cNvPr>
        <xdr:cNvSpPr/>
      </xdr:nvSpPr>
      <xdr:spPr>
        <a:xfrm>
          <a:off x="4975411" y="156882"/>
          <a:ext cx="3361765" cy="381000"/>
        </a:xfrm>
        <a:prstGeom prst="round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ctr"/>
          <a:r>
            <a:rPr lang="en-GB" sz="1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Cost, Quality &amp; Risk Analysis </a:t>
          </a:r>
          <a:endParaRPr lang="ar-EG" sz="16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2</xdr:col>
      <xdr:colOff>123266</xdr:colOff>
      <xdr:row>9</xdr:row>
      <xdr:rowOff>33619</xdr:rowOff>
    </xdr:from>
    <xdr:to>
      <xdr:col>7</xdr:col>
      <xdr:colOff>67236</xdr:colOff>
      <xdr:row>26</xdr:row>
      <xdr:rowOff>123265</xdr:rowOff>
    </xdr:to>
    <xdr:graphicFrame macro="">
      <xdr:nvGraphicFramePr>
        <xdr:cNvPr id="30" name="Costs by SKU">
          <a:extLst>
            <a:ext uri="{FF2B5EF4-FFF2-40B4-BE49-F238E27FC236}">
              <a16:creationId xmlns:a16="http://schemas.microsoft.com/office/drawing/2014/main" id="{DE89C5B8-ED5B-486E-A407-0763F7C1A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78443</xdr:colOff>
      <xdr:row>9</xdr:row>
      <xdr:rowOff>44825</xdr:rowOff>
    </xdr:from>
    <xdr:to>
      <xdr:col>12</xdr:col>
      <xdr:colOff>100853</xdr:colOff>
      <xdr:row>26</xdr:row>
      <xdr:rowOff>123265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E39F73A-86DF-4117-B14E-E71D22581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123266</xdr:colOff>
      <xdr:row>9</xdr:row>
      <xdr:rowOff>44824</xdr:rowOff>
    </xdr:from>
    <xdr:to>
      <xdr:col>17</xdr:col>
      <xdr:colOff>89648</xdr:colOff>
      <xdr:row>26</xdr:row>
      <xdr:rowOff>123266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6928260F-3860-40FC-9913-56DB54CBD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201706</xdr:colOff>
      <xdr:row>8</xdr:row>
      <xdr:rowOff>112060</xdr:rowOff>
    </xdr:from>
    <xdr:to>
      <xdr:col>1</xdr:col>
      <xdr:colOff>582706</xdr:colOff>
      <xdr:row>11</xdr:row>
      <xdr:rowOff>123265</xdr:rowOff>
    </xdr:to>
    <xdr:pic>
      <xdr:nvPicPr>
        <xdr:cNvPr id="19" name="Picture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52D56BC-E260-425F-927B-CB4D87C40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265" y="1546413"/>
          <a:ext cx="381000" cy="549087"/>
        </a:xfrm>
        <a:prstGeom prst="rect">
          <a:avLst/>
        </a:prstGeom>
      </xdr:spPr>
    </xdr:pic>
    <xdr:clientData/>
  </xdr:twoCellAnchor>
  <xdr:twoCellAnchor editAs="oneCell">
    <xdr:from>
      <xdr:col>1</xdr:col>
      <xdr:colOff>147068</xdr:colOff>
      <xdr:row>10</xdr:row>
      <xdr:rowOff>154537</xdr:rowOff>
    </xdr:from>
    <xdr:to>
      <xdr:col>1</xdr:col>
      <xdr:colOff>606508</xdr:colOff>
      <xdr:row>13</xdr:row>
      <xdr:rowOff>120918</xdr:rowOff>
    </xdr:to>
    <xdr:pic>
      <xdr:nvPicPr>
        <xdr:cNvPr id="33" name="Picture 3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B95BD96-B1F5-4F48-825C-D1607103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627" y="1947478"/>
          <a:ext cx="459440" cy="504264"/>
        </a:xfrm>
        <a:prstGeom prst="rect">
          <a:avLst/>
        </a:prstGeom>
      </xdr:spPr>
    </xdr:pic>
    <xdr:clientData/>
  </xdr:twoCellAnchor>
  <xdr:twoCellAnchor editAs="oneCell">
    <xdr:from>
      <xdr:col>1</xdr:col>
      <xdr:colOff>124656</xdr:colOff>
      <xdr:row>13</xdr:row>
      <xdr:rowOff>165742</xdr:rowOff>
    </xdr:from>
    <xdr:to>
      <xdr:col>1</xdr:col>
      <xdr:colOff>584095</xdr:colOff>
      <xdr:row>16</xdr:row>
      <xdr:rowOff>109713</xdr:rowOff>
    </xdr:to>
    <xdr:pic>
      <xdr:nvPicPr>
        <xdr:cNvPr id="34" name="Picture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5FADE64-298D-4D80-9A00-878180FED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215" y="2496566"/>
          <a:ext cx="459439" cy="481853"/>
        </a:xfrm>
        <a:prstGeom prst="rect">
          <a:avLst/>
        </a:prstGeom>
      </xdr:spPr>
    </xdr:pic>
    <xdr:clientData/>
  </xdr:twoCellAnchor>
  <xdr:twoCellAnchor editAs="oneCell">
    <xdr:from>
      <xdr:col>1</xdr:col>
      <xdr:colOff>180685</xdr:colOff>
      <xdr:row>16</xdr:row>
      <xdr:rowOff>120918</xdr:rowOff>
    </xdr:from>
    <xdr:to>
      <xdr:col>1</xdr:col>
      <xdr:colOff>584097</xdr:colOff>
      <xdr:row>18</xdr:row>
      <xdr:rowOff>176947</xdr:rowOff>
    </xdr:to>
    <xdr:pic>
      <xdr:nvPicPr>
        <xdr:cNvPr id="35" name="Picture 3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B528A80-64F7-4CAB-A3D7-EC9B9F721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244" y="2989624"/>
          <a:ext cx="403412" cy="414617"/>
        </a:xfrm>
        <a:prstGeom prst="rect">
          <a:avLst/>
        </a:prstGeom>
      </xdr:spPr>
    </xdr:pic>
    <xdr:clientData/>
  </xdr:twoCellAnchor>
  <xdr:twoCellAnchor editAs="oneCell">
    <xdr:from>
      <xdr:col>1</xdr:col>
      <xdr:colOff>113450</xdr:colOff>
      <xdr:row>19</xdr:row>
      <xdr:rowOff>31271</xdr:rowOff>
    </xdr:from>
    <xdr:to>
      <xdr:col>1</xdr:col>
      <xdr:colOff>550480</xdr:colOff>
      <xdr:row>21</xdr:row>
      <xdr:rowOff>98506</xdr:rowOff>
    </xdr:to>
    <xdr:pic>
      <xdr:nvPicPr>
        <xdr:cNvPr id="36" name="Picture 3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D65B2700-E853-49BC-84B4-594200D95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009" y="3437859"/>
          <a:ext cx="437030" cy="42582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ابراهيم البحراوي" refreshedDate="46006.573425462964" createdVersion="6" refreshedVersion="6" minRefreshableVersion="3" recordCount="100" xr:uid="{276FE942-160A-4D4B-8831-1A0B8617DAA6}">
  <cacheSource type="worksheet">
    <worksheetSource name="supply_chain_data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 count="100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</sharedItems>
    </cacheField>
    <cacheField name="Price" numFmtId="0">
      <sharedItems containsSemiMixedTypes="0" containsString="0" containsNumber="1" minValue="1.7" maxValue="99.17" count="99">
        <n v="69.81"/>
        <n v="14.84"/>
        <n v="11.32"/>
        <n v="61.16"/>
        <n v="4.8099999999999996"/>
        <n v="1.7"/>
        <n v="4.08"/>
        <n v="42.96"/>
        <n v="68.72"/>
        <n v="64.02"/>
        <n v="15.71"/>
        <n v="90.64"/>
        <n v="71.209999999999994"/>
        <n v="16.16"/>
        <n v="99.17"/>
        <n v="36.99"/>
        <n v="7.55"/>
        <n v="81.459999999999994"/>
        <n v="36.44"/>
        <n v="51.12"/>
        <n v="96.34"/>
        <n v="84.89"/>
        <n v="27.68"/>
        <n v="4.32"/>
        <n v="4.16"/>
        <n v="39.630000000000003"/>
        <n v="97.45"/>
        <n v="92.56"/>
        <n v="2.4"/>
        <n v="63.45"/>
        <n v="8.02"/>
        <n v="50.85"/>
        <n v="79.209999999999994"/>
        <n v="64.8"/>
        <n v="37.47"/>
        <n v="84.96"/>
        <n v="9.81"/>
        <n v="23.4"/>
        <n v="52.08"/>
        <n v="19.13"/>
        <n v="80.540000000000006"/>
        <n v="99.11"/>
        <n v="46.53"/>
        <n v="11.74"/>
        <n v="51.36"/>
        <n v="33.78"/>
        <n v="27.08"/>
        <n v="95.71"/>
        <n v="76.040000000000006"/>
        <n v="78.900000000000006"/>
        <n v="14.2"/>
        <n v="26.7"/>
        <n v="98.03"/>
        <n v="30.34"/>
        <n v="31.15"/>
        <n v="79.86"/>
        <n v="20.99"/>
        <n v="49.26"/>
        <n v="59.84"/>
        <n v="63.83"/>
        <n v="17.03"/>
        <n v="52.03"/>
        <n v="72.8"/>
        <n v="13.02"/>
        <n v="89.63"/>
        <n v="33.700000000000003"/>
        <n v="26.03"/>
        <n v="87.76"/>
        <n v="37.93"/>
        <n v="54.87"/>
        <n v="47.91"/>
        <n v="6.38"/>
        <n v="90.2"/>
        <n v="83.85"/>
        <n v="3.17"/>
        <n v="93"/>
        <n v="69.11"/>
        <n v="57.45"/>
        <n v="6.31"/>
        <n v="57.06"/>
        <n v="91.13"/>
        <n v="72.819999999999993"/>
        <n v="68.91"/>
        <n v="89.1"/>
        <n v="76.959999999999994"/>
        <n v="20"/>
        <n v="80.41"/>
        <n v="75.27"/>
        <n v="97.76"/>
        <n v="13.88"/>
        <n v="62.11"/>
        <n v="47.71"/>
        <n v="69.290000000000006"/>
        <n v="3.04"/>
        <n v="77.900000000000006"/>
        <n v="24.42"/>
        <n v="3.53"/>
        <n v="19.75"/>
        <n v="68.52"/>
      </sharedItems>
    </cacheField>
    <cacheField name="Availability" numFmtId="0">
      <sharedItems containsSemiMixedTypes="0" containsString="0" containsNumber="1" containsInteger="1" minValue="1" maxValue="100" count="63">
        <n v="55"/>
        <n v="95"/>
        <n v="34"/>
        <n v="68"/>
        <n v="26"/>
        <n v="87"/>
        <n v="48"/>
        <n v="59"/>
        <n v="78"/>
        <n v="35"/>
        <n v="11"/>
        <n v="41"/>
        <n v="5"/>
        <n v="94"/>
        <n v="74"/>
        <n v="82"/>
        <n v="23"/>
        <n v="100"/>
        <n v="22"/>
        <n v="60"/>
        <n v="30"/>
        <n v="32"/>
        <n v="73"/>
        <n v="9"/>
        <n v="42"/>
        <n v="12"/>
        <n v="3"/>
        <n v="10"/>
        <n v="28"/>
        <n v="43"/>
        <n v="63"/>
        <n v="96"/>
        <n v="75"/>
        <n v="97"/>
        <n v="98"/>
        <n v="6"/>
        <n v="1"/>
        <n v="93"/>
        <n v="19"/>
        <n v="91"/>
        <n v="61"/>
        <n v="16"/>
        <n v="90"/>
        <n v="65"/>
        <n v="81"/>
        <n v="89"/>
        <n v="72"/>
        <n v="52"/>
        <n v="29"/>
        <n v="62"/>
        <n v="14"/>
        <n v="88"/>
        <n v="64"/>
        <n v="50"/>
        <n v="56"/>
        <n v="13"/>
        <n v="99"/>
        <n v="83"/>
        <n v="18"/>
        <n v="24"/>
        <n v="58"/>
        <n v="44"/>
        <n v="17"/>
      </sharedItems>
    </cacheField>
    <cacheField name="Number of products sold" numFmtId="0">
      <sharedItems containsSemiMixedTypes="0" containsString="0" containsNumber="1" containsInteger="1" minValue="8" maxValue="996" count="96">
        <n v="802"/>
        <n v="736"/>
        <n v="8"/>
        <n v="83"/>
        <n v="871"/>
        <n v="147"/>
        <n v="65"/>
        <n v="426"/>
        <n v="150"/>
        <n v="980"/>
        <n v="996"/>
        <n v="960"/>
        <n v="336"/>
        <n v="249"/>
        <n v="562"/>
        <n v="469"/>
        <n v="280"/>
        <n v="126"/>
        <n v="620"/>
        <n v="187"/>
        <n v="320"/>
        <n v="601"/>
        <n v="884"/>
        <n v="391"/>
        <n v="209"/>
        <n v="142"/>
        <n v="353"/>
        <n v="352"/>
        <n v="394"/>
        <n v="253"/>
        <n v="327"/>
        <n v="168"/>
        <n v="781"/>
        <n v="616"/>
        <n v="602"/>
        <n v="449"/>
        <n v="963"/>
        <n v="705"/>
        <n v="176"/>
        <n v="933"/>
        <n v="556"/>
        <n v="155"/>
        <n v="598"/>
        <n v="919"/>
        <n v="24"/>
        <n v="859"/>
        <n v="910"/>
        <n v="29"/>
        <n v="99"/>
        <n v="633"/>
        <n v="154"/>
        <n v="820"/>
        <n v="242"/>
        <n v="622"/>
        <n v="701"/>
        <n v="93"/>
        <n v="227"/>
        <n v="896"/>
        <n v="484"/>
        <n v="380"/>
        <n v="117"/>
        <n v="270"/>
        <n v="246"/>
        <n v="134"/>
        <n v="457"/>
        <n v="704"/>
        <n v="513"/>
        <n v="163"/>
        <n v="511"/>
        <n v="32"/>
        <n v="637"/>
        <n v="478"/>
        <n v="375"/>
        <n v="904"/>
        <n v="106"/>
        <n v="241"/>
        <n v="359"/>
        <n v="946"/>
        <n v="198"/>
        <n v="872"/>
        <n v="774"/>
        <n v="663"/>
        <n v="618"/>
        <n v="25"/>
        <n v="223"/>
        <n v="79"/>
        <n v="737"/>
        <n v="916"/>
        <n v="276"/>
        <n v="114"/>
        <n v="987"/>
        <n v="672"/>
        <n v="324"/>
        <n v="62"/>
        <n v="913"/>
        <n v="627"/>
      </sharedItems>
    </cacheField>
    <cacheField name="Revenue generated" numFmtId="0">
      <sharedItems containsSemiMixedTypes="0" containsString="0" containsNumber="1" minValue="1061.6199999999999" maxValue="9866.4699999999993"/>
    </cacheField>
    <cacheField name="Customer demographics" numFmtId="0">
      <sharedItems count="4">
        <s v="Non-binary"/>
        <s v="Female"/>
        <s v="Unknown"/>
        <s v="Male"/>
      </sharedItems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minValue="1.01" maxValue="9.93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 count="5">
        <s v="Mumbai"/>
        <s v="Kolkata"/>
        <s v="Delhi"/>
        <s v="Bangalore"/>
        <s v="Chennai"/>
      </sharedItems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900000000000001" maxValue="99.47"/>
    </cacheField>
    <cacheField name="Inspection results" numFmtId="0">
      <sharedItems/>
    </cacheField>
    <cacheField name="Defect rates" numFmtId="0">
      <sharedItems containsSemiMixedTypes="0" containsString="0" containsNumber="1" minValue="0.02" maxValue="4.9400000000000004"/>
    </cacheField>
    <cacheField name="Transportation modes" numFmtId="0">
      <sharedItems/>
    </cacheField>
    <cacheField name="Routes" numFmtId="0">
      <sharedItems count="3">
        <s v="Route B"/>
        <s v="Route C"/>
        <s v="Route A"/>
      </sharedItems>
    </cacheField>
    <cacheField name="Costs" numFmtId="0">
      <sharedItems containsSemiMixedTypes="0" containsString="0" containsNumber="1" minValue="103.92" maxValue="997.41"/>
    </cacheField>
  </cacheFields>
  <extLst>
    <ext xmlns:x14="http://schemas.microsoft.com/office/spreadsheetml/2009/9/main" uri="{725AE2AE-9491-48be-B2B4-4EB974FC3084}">
      <x14:pivotCacheDefinition pivotCacheId="126098259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ابراهيم البحراوي" refreshedDate="46006.606438194445" createdVersion="6" refreshedVersion="6" minRefreshableVersion="3" recordCount="101" xr:uid="{CB066821-12C2-40E7-BFBA-3687BE968AE4}">
  <cacheSource type="worksheet">
    <worksheetSource ref="A1:Y1048576" sheet="supply_chain"/>
  </cacheSource>
  <cacheFields count="25">
    <cacheField name="Product type" numFmtId="0">
      <sharedItems containsBlank="1" count="4">
        <s v="haircare"/>
        <s v="skincare"/>
        <s v="cosmetics"/>
        <m/>
      </sharedItems>
    </cacheField>
    <cacheField name="SKU" numFmtId="0">
      <sharedItems containsBlank="1" count="101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m/>
      </sharedItems>
    </cacheField>
    <cacheField name="Price" numFmtId="0">
      <sharedItems containsString="0" containsBlank="1" containsNumber="1" minValue="1.7" maxValue="99.17"/>
    </cacheField>
    <cacheField name="Availability" numFmtId="0">
      <sharedItems containsString="0" containsBlank="1" containsNumber="1" containsInteger="1" minValue="1" maxValue="100" count="64">
        <n v="55"/>
        <n v="95"/>
        <n v="34"/>
        <n v="68"/>
        <n v="26"/>
        <n v="87"/>
        <n v="48"/>
        <n v="59"/>
        <n v="78"/>
        <n v="35"/>
        <n v="11"/>
        <n v="41"/>
        <n v="5"/>
        <n v="94"/>
        <n v="74"/>
        <n v="82"/>
        <n v="23"/>
        <n v="100"/>
        <n v="22"/>
        <n v="60"/>
        <n v="30"/>
        <n v="32"/>
        <n v="73"/>
        <n v="9"/>
        <n v="42"/>
        <n v="12"/>
        <n v="3"/>
        <n v="10"/>
        <n v="28"/>
        <n v="43"/>
        <n v="63"/>
        <n v="96"/>
        <n v="75"/>
        <n v="97"/>
        <n v="98"/>
        <n v="6"/>
        <n v="1"/>
        <n v="93"/>
        <n v="19"/>
        <n v="91"/>
        <n v="61"/>
        <n v="16"/>
        <n v="90"/>
        <n v="65"/>
        <n v="81"/>
        <n v="89"/>
        <n v="72"/>
        <n v="52"/>
        <n v="29"/>
        <n v="62"/>
        <n v="14"/>
        <n v="88"/>
        <n v="64"/>
        <n v="50"/>
        <n v="56"/>
        <n v="13"/>
        <n v="99"/>
        <n v="83"/>
        <n v="18"/>
        <n v="24"/>
        <n v="58"/>
        <n v="44"/>
        <n v="17"/>
        <m/>
      </sharedItems>
    </cacheField>
    <cacheField name="Number of products sold" numFmtId="0">
      <sharedItems containsString="0" containsBlank="1" containsNumber="1" containsInteger="1" minValue="8" maxValue="996"/>
    </cacheField>
    <cacheField name="Revenue generated" numFmtId="0">
      <sharedItems containsString="0" containsBlank="1" containsNumber="1" minValue="1061.6199999999999" maxValue="9866.4699999999993"/>
    </cacheField>
    <cacheField name="Customer demographics" numFmtId="0">
      <sharedItems containsBlank="1"/>
    </cacheField>
    <cacheField name="Stock levels" numFmtId="0">
      <sharedItems containsString="0" containsBlank="1" containsNumber="1" containsInteger="1" minValue="0" maxValue="100"/>
    </cacheField>
    <cacheField name="Lead times" numFmtId="0">
      <sharedItems containsString="0" containsBlank="1" containsNumber="1" containsInteger="1" minValue="1" maxValue="30"/>
    </cacheField>
    <cacheField name="Order quantities" numFmtId="0">
      <sharedItems containsString="0" containsBlank="1" containsNumber="1" containsInteger="1" minValue="1" maxValue="96"/>
    </cacheField>
    <cacheField name="Shipping times" numFmtId="0">
      <sharedItems containsString="0" containsBlank="1" containsNumber="1" containsInteger="1" minValue="1" maxValue="10"/>
    </cacheField>
    <cacheField name="Shipping carriers" numFmtId="0">
      <sharedItems containsBlank="1"/>
    </cacheField>
    <cacheField name="Shipping costs" numFmtId="0">
      <sharedItems containsString="0" containsBlank="1" containsNumber="1" minValue="1.01" maxValue="9.93"/>
    </cacheField>
    <cacheField name="Supplier name" numFmtId="0">
      <sharedItems containsBlank="1"/>
    </cacheField>
    <cacheField name="Location" numFmtId="0">
      <sharedItems containsBlank="1" count="6">
        <s v="Mumbai"/>
        <s v="Kolkata"/>
        <s v="Delhi"/>
        <s v="Bangalore"/>
        <s v="Chennai"/>
        <m/>
      </sharedItems>
    </cacheField>
    <cacheField name="Lead time" numFmtId="0">
      <sharedItems containsString="0" containsBlank="1" containsNumber="1" containsInteger="1" minValue="1" maxValue="30"/>
    </cacheField>
    <cacheField name="Production volumes" numFmtId="0">
      <sharedItems containsString="0" containsBlank="1" containsNumber="1" containsInteger="1" minValue="104" maxValue="985"/>
    </cacheField>
    <cacheField name="Manufacturing lead time" numFmtId="0">
      <sharedItems containsString="0" containsBlank="1" containsNumber="1" containsInteger="1" minValue="1" maxValue="30"/>
    </cacheField>
    <cacheField name="Manufacturing costs" numFmtId="0">
      <sharedItems containsString="0" containsBlank="1" containsNumber="1" minValue="1.0900000000000001" maxValue="99.47"/>
    </cacheField>
    <cacheField name="Inspection results" numFmtId="0">
      <sharedItems containsBlank="1"/>
    </cacheField>
    <cacheField name="Defect rates" numFmtId="0">
      <sharedItems containsString="0" containsBlank="1" containsNumber="1" minValue="0.02" maxValue="4.9400000000000004"/>
    </cacheField>
    <cacheField name="Transportation modes" numFmtId="0">
      <sharedItems containsBlank="1"/>
    </cacheField>
    <cacheField name="Routes" numFmtId="0">
      <sharedItems containsBlank="1"/>
    </cacheField>
    <cacheField name="Costs" numFmtId="0">
      <sharedItems containsString="0" containsBlank="1" containsNumber="1" minValue="103.92" maxValue="997.41"/>
    </cacheField>
    <cacheField name="inventory turnover per SKU" numFmtId="0">
      <sharedItems containsString="0" containsBlank="1" containsNumber="1" minValue="0.16746912288046889" maxValue="20.84990579861838"/>
    </cacheField>
  </cacheFields>
  <extLst>
    <ext xmlns:x14="http://schemas.microsoft.com/office/spreadsheetml/2009/9/main" uri="{725AE2AE-9491-48be-B2B4-4EB974FC3084}">
      <x14:pivotCacheDefinition pivotCacheId="594940156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ابراهيم البحراوي" refreshedDate="46006.620621412039" createdVersion="6" refreshedVersion="6" minRefreshableVersion="3" recordCount="101" xr:uid="{28010A35-27C5-414A-9F4F-BC6577423D94}">
  <cacheSource type="worksheet">
    <worksheetSource ref="A1:Z1048576" sheet="supply_chain"/>
  </cacheSource>
  <cacheFields count="26">
    <cacheField name="Product type" numFmtId="0">
      <sharedItems containsBlank="1" count="4">
        <s v="haircare"/>
        <s v="skincare"/>
        <s v="cosmetics"/>
        <m/>
      </sharedItems>
    </cacheField>
    <cacheField name="SKU" numFmtId="0">
      <sharedItems containsBlank="1" count="101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m/>
      </sharedItems>
    </cacheField>
    <cacheField name="Price" numFmtId="0">
      <sharedItems containsString="0" containsBlank="1" containsNumber="1" minValue="1.7" maxValue="99.17"/>
    </cacheField>
    <cacheField name="Availability" numFmtId="0">
      <sharedItems containsString="0" containsBlank="1" containsNumber="1" containsInteger="1" minValue="1" maxValue="100" count="64">
        <n v="55"/>
        <n v="95"/>
        <n v="34"/>
        <n v="68"/>
        <n v="26"/>
        <n v="87"/>
        <n v="48"/>
        <n v="59"/>
        <n v="78"/>
        <n v="35"/>
        <n v="11"/>
        <n v="41"/>
        <n v="5"/>
        <n v="94"/>
        <n v="74"/>
        <n v="82"/>
        <n v="23"/>
        <n v="100"/>
        <n v="22"/>
        <n v="60"/>
        <n v="30"/>
        <n v="32"/>
        <n v="73"/>
        <n v="9"/>
        <n v="42"/>
        <n v="12"/>
        <n v="3"/>
        <n v="10"/>
        <n v="28"/>
        <n v="43"/>
        <n v="63"/>
        <n v="96"/>
        <n v="75"/>
        <n v="97"/>
        <n v="98"/>
        <n v="6"/>
        <n v="1"/>
        <n v="93"/>
        <n v="19"/>
        <n v="91"/>
        <n v="61"/>
        <n v="16"/>
        <n v="90"/>
        <n v="65"/>
        <n v="81"/>
        <n v="89"/>
        <n v="72"/>
        <n v="52"/>
        <n v="29"/>
        <n v="62"/>
        <n v="14"/>
        <n v="88"/>
        <n v="64"/>
        <n v="50"/>
        <n v="56"/>
        <n v="13"/>
        <n v="99"/>
        <n v="83"/>
        <n v="18"/>
        <n v="24"/>
        <n v="58"/>
        <n v="44"/>
        <n v="17"/>
        <m/>
      </sharedItems>
    </cacheField>
    <cacheField name="Number of products sold" numFmtId="0">
      <sharedItems containsString="0" containsBlank="1" containsNumber="1" containsInteger="1" minValue="8" maxValue="996"/>
    </cacheField>
    <cacheField name="Revenue generated" numFmtId="0">
      <sharedItems containsString="0" containsBlank="1" containsNumber="1" minValue="1061.6199999999999" maxValue="9866.4699999999993"/>
    </cacheField>
    <cacheField name="Customer demographics" numFmtId="0">
      <sharedItems containsBlank="1" count="5">
        <s v="Non-binary"/>
        <s v="Female"/>
        <s v="Unknown"/>
        <s v="Male"/>
        <m/>
      </sharedItems>
    </cacheField>
    <cacheField name="Stock levels" numFmtId="0">
      <sharedItems containsString="0" containsBlank="1" containsNumber="1" containsInteger="1" minValue="0" maxValue="100"/>
    </cacheField>
    <cacheField name="Lead times" numFmtId="0">
      <sharedItems containsString="0" containsBlank="1" containsNumber="1" containsInteger="1" minValue="1" maxValue="30"/>
    </cacheField>
    <cacheField name="Order quantities" numFmtId="0">
      <sharedItems containsString="0" containsBlank="1" containsNumber="1" containsInteger="1" minValue="1" maxValue="96"/>
    </cacheField>
    <cacheField name="Shipping times" numFmtId="0">
      <sharedItems containsString="0" containsBlank="1" containsNumber="1" containsInteger="1" minValue="1" maxValue="10"/>
    </cacheField>
    <cacheField name="Shipping carriers" numFmtId="0">
      <sharedItems containsBlank="1" count="4">
        <s v="Carrier B"/>
        <s v="Carrier A"/>
        <s v="Carrier C"/>
        <m/>
      </sharedItems>
    </cacheField>
    <cacheField name="Shipping costs" numFmtId="0">
      <sharedItems containsString="0" containsBlank="1" containsNumber="1" minValue="1.01" maxValue="9.93"/>
    </cacheField>
    <cacheField name="Supplier name" numFmtId="0">
      <sharedItems containsBlank="1" count="6">
        <s v="Supplier 3"/>
        <s v="Supplier 1"/>
        <s v="Supplier 5"/>
        <s v="Supplier 4"/>
        <s v="Supplier 2"/>
        <m/>
      </sharedItems>
    </cacheField>
    <cacheField name="Location" numFmtId="0">
      <sharedItems containsBlank="1" count="6">
        <s v="Mumbai"/>
        <s v="Kolkata"/>
        <s v="Delhi"/>
        <s v="Bangalore"/>
        <s v="Chennai"/>
        <m/>
      </sharedItems>
    </cacheField>
    <cacheField name="Lead time" numFmtId="0">
      <sharedItems containsString="0" containsBlank="1" containsNumber="1" containsInteger="1" minValue="1" maxValue="30"/>
    </cacheField>
    <cacheField name="Production volumes" numFmtId="0">
      <sharedItems containsString="0" containsBlank="1" containsNumber="1" containsInteger="1" minValue="104" maxValue="985"/>
    </cacheField>
    <cacheField name="Manufacturing lead time" numFmtId="0">
      <sharedItems containsString="0" containsBlank="1" containsNumber="1" containsInteger="1" minValue="1" maxValue="30"/>
    </cacheField>
    <cacheField name="Manufacturing costs" numFmtId="0">
      <sharedItems containsString="0" containsBlank="1" containsNumber="1" minValue="1.0900000000000001" maxValue="99.47"/>
    </cacheField>
    <cacheField name="Inspection results" numFmtId="0">
      <sharedItems containsBlank="1"/>
    </cacheField>
    <cacheField name="Defect rates" numFmtId="0">
      <sharedItems containsString="0" containsBlank="1" containsNumber="1" minValue="0.02" maxValue="4.9400000000000004"/>
    </cacheField>
    <cacheField name="Transportation modes" numFmtId="0">
      <sharedItems containsBlank="1" count="5">
        <s v="Road"/>
        <s v="Air"/>
        <s v="Rail"/>
        <s v="Sea"/>
        <m/>
      </sharedItems>
    </cacheField>
    <cacheField name="Routes" numFmtId="0">
      <sharedItems containsBlank="1"/>
    </cacheField>
    <cacheField name="Average Price by Product Type" numFmtId="0">
      <sharedItems containsString="0" containsBlank="1" containsNumber="1" minValue="103.92" maxValue="997.41"/>
    </cacheField>
    <cacheField name="inventory turnover per SKU" numFmtId="0">
      <sharedItems containsString="0" containsBlank="1" containsNumber="1" minValue="0.16746912288046889" maxValue="20.84990579861838"/>
    </cacheField>
    <cacheField name="Excess inventory products" numFmtId="0">
      <sharedItems containsBlank="1"/>
    </cacheField>
  </cacheFields>
  <extLst>
    <ext xmlns:x14="http://schemas.microsoft.com/office/spreadsheetml/2009/9/main" uri="{725AE2AE-9491-48be-B2B4-4EB974FC3084}">
      <x14:pivotCacheDefinition pivotCacheId="146294426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ابراهيم البحراوي" refreshedDate="46006.687455208332" createdVersion="6" refreshedVersion="6" minRefreshableVersion="3" recordCount="101" xr:uid="{BA1583CD-B77C-42B7-B086-62E5C84AE26B}">
  <cacheSource type="worksheet">
    <worksheetSource ref="A1:AC1048576" sheet="supply_chain"/>
  </cacheSource>
  <cacheFields count="29">
    <cacheField name="Product type" numFmtId="0">
      <sharedItems containsBlank="1"/>
    </cacheField>
    <cacheField name="SKU" numFmtId="0">
      <sharedItems containsBlank="1" count="101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  <m/>
      </sharedItems>
    </cacheField>
    <cacheField name="Price" numFmtId="0">
      <sharedItems containsString="0" containsBlank="1" containsNumber="1" minValue="1.7" maxValue="99.17"/>
    </cacheField>
    <cacheField name="Availability" numFmtId="0">
      <sharedItems containsString="0" containsBlank="1" containsNumber="1" containsInteger="1" minValue="1" maxValue="100"/>
    </cacheField>
    <cacheField name="Number of products sold" numFmtId="0">
      <sharedItems containsString="0" containsBlank="1" containsNumber="1" containsInteger="1" minValue="8" maxValue="996"/>
    </cacheField>
    <cacheField name="Revenue generated" numFmtId="0">
      <sharedItems containsString="0" containsBlank="1" containsNumber="1" minValue="1061.6199999999999" maxValue="9866.4699999999993"/>
    </cacheField>
    <cacheField name="Customer demographics" numFmtId="0">
      <sharedItems containsBlank="1"/>
    </cacheField>
    <cacheField name="Stock levels" numFmtId="0">
      <sharedItems containsString="0" containsBlank="1" containsNumber="1" containsInteger="1" minValue="0" maxValue="100"/>
    </cacheField>
    <cacheField name="Lead times" numFmtId="0">
      <sharedItems containsString="0" containsBlank="1" containsNumber="1" containsInteger="1" minValue="1" maxValue="30"/>
    </cacheField>
    <cacheField name="Order quantities" numFmtId="0">
      <sharedItems containsString="0" containsBlank="1" containsNumber="1" containsInteger="1" minValue="1" maxValue="96"/>
    </cacheField>
    <cacheField name="Shipping times" numFmtId="0">
      <sharedItems containsString="0" containsBlank="1" containsNumber="1" containsInteger="1" minValue="1" maxValue="10"/>
    </cacheField>
    <cacheField name="Shipping carriers" numFmtId="0">
      <sharedItems containsBlank="1"/>
    </cacheField>
    <cacheField name="Shipping costs" numFmtId="0">
      <sharedItems containsString="0" containsBlank="1" containsNumber="1" minValue="1.01" maxValue="9.93"/>
    </cacheField>
    <cacheField name="Supplier name" numFmtId="0">
      <sharedItems containsBlank="1"/>
    </cacheField>
    <cacheField name="Location" numFmtId="0">
      <sharedItems containsBlank="1"/>
    </cacheField>
    <cacheField name="Lead time" numFmtId="0">
      <sharedItems containsString="0" containsBlank="1" containsNumber="1" containsInteger="1" minValue="1" maxValue="30"/>
    </cacheField>
    <cacheField name="Production volumes" numFmtId="0">
      <sharedItems containsString="0" containsBlank="1" containsNumber="1" containsInteger="1" minValue="104" maxValue="985"/>
    </cacheField>
    <cacheField name="Manufacturing lead time" numFmtId="0">
      <sharedItems containsString="0" containsBlank="1" containsNumber="1" containsInteger="1" minValue="1" maxValue="30"/>
    </cacheField>
    <cacheField name="Manufacturing costs" numFmtId="0">
      <sharedItems containsString="0" containsBlank="1" containsNumber="1" minValue="1.0900000000000001" maxValue="99.47"/>
    </cacheField>
    <cacheField name="Inspection results" numFmtId="0">
      <sharedItems containsBlank="1"/>
    </cacheField>
    <cacheField name="Defect rates" numFmtId="0">
      <sharedItems containsString="0" containsBlank="1" containsNumber="1" minValue="0.02" maxValue="4.9400000000000004" count="92">
        <n v="0.23"/>
        <n v="4.8499999999999996"/>
        <n v="4.58"/>
        <n v="4.75"/>
        <n v="3.15"/>
        <n v="2.78"/>
        <n v="1"/>
        <n v="0.4"/>
        <n v="2.71"/>
        <n v="3.84"/>
        <n v="1.73"/>
        <n v="0.02"/>
        <n v="2.16"/>
        <n v="1.63"/>
        <n v="0.1"/>
        <n v="2.2599999999999998"/>
        <n v="1.01"/>
        <n v="2.23"/>
        <n v="3.65"/>
        <n v="4.2300000000000004"/>
        <n v="2.59"/>
        <n v="1.34"/>
        <n v="3.69"/>
        <n v="3.8"/>
        <n v="2.12"/>
        <n v="2.86"/>
        <n v="0.82"/>
        <n v="3.88"/>
        <n v="0.97"/>
        <n v="2.99"/>
        <n v="1.95"/>
        <n v="3.54"/>
        <n v="0.65"/>
        <n v="0.54"/>
        <n v="3.81"/>
        <n v="2.61"/>
        <n v="0.61"/>
        <n v="1.45"/>
        <n v="4.21"/>
        <n v="0.05"/>
        <n v="4.9400000000000004"/>
        <n v="0.37"/>
        <n v="2.96"/>
        <n v="3.22"/>
        <n v="0.38"/>
        <n v="1.7"/>
        <n v="2.83"/>
        <n v="1.77"/>
        <n v="1.41"/>
        <n v="2.48"/>
        <n v="4.55"/>
        <n v="1.17"/>
        <n v="2.5099999999999998"/>
        <n v="0.45"/>
        <n v="2.85"/>
        <n v="4.37"/>
        <n v="1.87"/>
        <n v="3.63"/>
        <n v="0.16"/>
        <n v="4.91"/>
        <n v="3.45"/>
        <n v="0.13"/>
        <n v="1.98"/>
        <n v="1.36"/>
        <n v="1.83"/>
        <n v="2.08"/>
        <n v="3.21"/>
        <n v="4.62"/>
        <n v="2.0299999999999998"/>
        <n v="2.1800000000000002"/>
        <n v="3.06"/>
        <n v="4.0999999999999996"/>
        <n v="0.17"/>
        <n v="2.5499999999999998"/>
        <n v="4.1399999999999997"/>
        <n v="0.77"/>
        <n v="4.84"/>
        <n v="1.37"/>
        <n v="2.0499999999999998"/>
        <n v="0.72"/>
        <n v="1.91"/>
        <n v="1.22"/>
        <n v="0.63"/>
        <n v="0.33"/>
        <n v="4.17"/>
        <n v="1.46"/>
        <n v="1.21"/>
        <n v="3.87"/>
        <n v="3.38"/>
        <n v="2.91"/>
        <n v="0.35"/>
        <m/>
      </sharedItems>
    </cacheField>
    <cacheField name="Transportation modes" numFmtId="0">
      <sharedItems containsBlank="1"/>
    </cacheField>
    <cacheField name="Routes" numFmtId="0">
      <sharedItems containsBlank="1"/>
    </cacheField>
    <cacheField name="costs" numFmtId="0">
      <sharedItems containsString="0" containsBlank="1" containsNumber="1" minValue="103.92" maxValue="997.41"/>
    </cacheField>
    <cacheField name="inventory turnover per SKU" numFmtId="0">
      <sharedItems containsString="0" containsBlank="1" containsNumber="1" minValue="0.16746912288046889" maxValue="20.84990579861838"/>
    </cacheField>
    <cacheField name="Excess inventory products" numFmtId="0">
      <sharedItems containsBlank="1"/>
    </cacheField>
    <cacheField name="lowest cost per unit suppliers" numFmtId="0">
      <sharedItems containsString="0" containsBlank="1" containsNumber="1" minValue="1.6112508149389959" maxValue="104.03050108932462"/>
    </cacheField>
    <cacheField name="manufacturing efficiency " numFmtId="0">
      <sharedItems containsString="0" containsBlank="1" containsNumber="1" minValue="6.0555555555555554" maxValue="793"/>
    </cacheField>
    <cacheField name="heghest manufacturing cost per unit" numFmtId="0">
      <sharedItems containsString="0" containsBlank="1" containsNumber="1" minValue="1.7683737094960645" maxValue="288.0733944954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ابراهيم البحراوي" refreshedDate="46006.696277430558" createdVersion="6" refreshedVersion="6" minRefreshableVersion="3" recordCount="100" xr:uid="{E7A2B93F-60D5-4F7A-8B0C-99083EEE8CF5}">
  <cacheSource type="worksheet">
    <worksheetSource ref="A1:AC101" sheet="supply_chain"/>
  </cacheSource>
  <cacheFields count="29">
    <cacheField name="Product type" numFmtId="0">
      <sharedItems/>
    </cacheField>
    <cacheField name="SKU" numFmtId="0">
      <sharedItems count="100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</sharedItems>
    </cacheField>
    <cacheField name="Price" numFmtId="0">
      <sharedItems containsSemiMixedTypes="0" containsString="0" containsNumber="1" minValue="1.7" maxValue="99.17"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 containsSemiMixedTypes="0" containsString="0" containsNumber="1" minValue="1061.6199999999999" maxValue="9866.4699999999993"/>
    </cacheField>
    <cacheField name="Customer demographics" numFmtId="0">
      <sharedItems/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 containsSemiMixedTypes="0" containsString="0" containsNumber="1" minValue="1.01" maxValue="9.93"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/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 containsSemiMixedTypes="0" containsString="0" containsNumber="1" minValue="1.0900000000000001" maxValue="99.47"/>
    </cacheField>
    <cacheField name="Inspection results" numFmtId="0">
      <sharedItems/>
    </cacheField>
    <cacheField name="Defect rates" numFmtId="0">
      <sharedItems containsSemiMixedTypes="0" containsString="0" containsNumber="1" minValue="0.02" maxValue="4.9400000000000004"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 count="3">
        <s v="Route B"/>
        <s v="Route C"/>
        <s v="Route A"/>
      </sharedItems>
    </cacheField>
    <cacheField name="costs" numFmtId="0">
      <sharedItems containsSemiMixedTypes="0" containsString="0" containsNumber="1" minValue="103.92" maxValue="997.41"/>
    </cacheField>
    <cacheField name="inventory turnover per SKU" numFmtId="2">
      <sharedItems containsSemiMixedTypes="0" containsString="0" containsNumber="1" minValue="0.16746912288046889" maxValue="20.84990579861838"/>
    </cacheField>
    <cacheField name="Excess inventory products" numFmtId="0">
      <sharedItems/>
    </cacheField>
    <cacheField name="lowest cost per unit suppliers" numFmtId="164">
      <sharedItems containsSemiMixedTypes="0" containsString="0" containsNumber="1" minValue="1.6112508149389959" maxValue="104.03050108932462"/>
    </cacheField>
    <cacheField name="manufacturing efficiency " numFmtId="2">
      <sharedItems containsSemiMixedTypes="0" containsString="0" containsNumber="1" minValue="6.0555555555555554" maxValue="793"/>
    </cacheField>
    <cacheField name="heghest manufacturing cost per unit" numFmtId="2">
      <sharedItems containsSemiMixedTypes="0" containsString="0" containsNumber="1" minValue="1.7683737094960645" maxValue="288.0733944954128"/>
    </cacheField>
  </cacheFields>
  <extLst>
    <ext xmlns:x14="http://schemas.microsoft.com/office/spreadsheetml/2009/9/main" uri="{725AE2AE-9491-48be-B2B4-4EB974FC3084}">
      <x14:pivotCacheDefinition pivotCacheId="5895706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n v="8662"/>
    <x v="0"/>
    <n v="58"/>
    <n v="7"/>
    <n v="96"/>
    <n v="4"/>
    <s v="Carrier B"/>
    <n v="2.96"/>
    <x v="0"/>
    <x v="0"/>
    <n v="29"/>
    <n v="215"/>
    <n v="29"/>
    <n v="46.28"/>
    <s v="Pending"/>
    <n v="0.23"/>
    <s v="Road"/>
    <x v="0"/>
    <n v="187.75"/>
  </r>
  <r>
    <x v="1"/>
    <x v="1"/>
    <x v="1"/>
    <x v="1"/>
    <x v="1"/>
    <n v="7460.9"/>
    <x v="1"/>
    <n v="53"/>
    <n v="30"/>
    <n v="37"/>
    <n v="2"/>
    <s v="Carrier A"/>
    <n v="9.7200000000000006"/>
    <x v="0"/>
    <x v="0"/>
    <n v="23"/>
    <n v="517"/>
    <n v="30"/>
    <n v="33.619999999999997"/>
    <s v="Pending"/>
    <n v="4.8499999999999996"/>
    <s v="Road"/>
    <x v="0"/>
    <n v="503.07"/>
  </r>
  <r>
    <x v="0"/>
    <x v="2"/>
    <x v="2"/>
    <x v="2"/>
    <x v="2"/>
    <n v="9577.75"/>
    <x v="2"/>
    <n v="1"/>
    <n v="10"/>
    <n v="88"/>
    <n v="2"/>
    <s v="Carrier B"/>
    <n v="8.0500000000000007"/>
    <x v="1"/>
    <x v="0"/>
    <n v="12"/>
    <n v="971"/>
    <n v="27"/>
    <n v="30.69"/>
    <s v="Pending"/>
    <n v="4.58"/>
    <s v="Air"/>
    <x v="1"/>
    <n v="141.91999999999999"/>
  </r>
  <r>
    <x v="1"/>
    <x v="3"/>
    <x v="3"/>
    <x v="3"/>
    <x v="3"/>
    <n v="7766.84"/>
    <x v="0"/>
    <n v="23"/>
    <n v="13"/>
    <n v="59"/>
    <n v="6"/>
    <s v="Carrier C"/>
    <n v="1.73"/>
    <x v="2"/>
    <x v="1"/>
    <n v="24"/>
    <n v="937"/>
    <n v="18"/>
    <n v="35.619999999999997"/>
    <s v="Fail"/>
    <n v="4.75"/>
    <s v="Rail"/>
    <x v="2"/>
    <n v="254.78"/>
  </r>
  <r>
    <x v="1"/>
    <x v="4"/>
    <x v="4"/>
    <x v="4"/>
    <x v="4"/>
    <n v="2686.51"/>
    <x v="0"/>
    <n v="5"/>
    <n v="3"/>
    <n v="56"/>
    <n v="8"/>
    <s v="Carrier A"/>
    <n v="3.89"/>
    <x v="1"/>
    <x v="2"/>
    <n v="5"/>
    <n v="414"/>
    <n v="3"/>
    <n v="92.07"/>
    <s v="Fail"/>
    <n v="3.15"/>
    <s v="Air"/>
    <x v="2"/>
    <n v="923.44"/>
  </r>
  <r>
    <x v="0"/>
    <x v="5"/>
    <x v="5"/>
    <x v="5"/>
    <x v="5"/>
    <n v="2828.35"/>
    <x v="0"/>
    <n v="90"/>
    <n v="27"/>
    <n v="66"/>
    <n v="3"/>
    <s v="Carrier B"/>
    <n v="4.4400000000000004"/>
    <x v="3"/>
    <x v="3"/>
    <n v="10"/>
    <n v="104"/>
    <n v="17"/>
    <n v="56.77"/>
    <s v="Fail"/>
    <n v="2.78"/>
    <s v="Road"/>
    <x v="2"/>
    <n v="235.46"/>
  </r>
  <r>
    <x v="1"/>
    <x v="6"/>
    <x v="6"/>
    <x v="6"/>
    <x v="6"/>
    <n v="7823.48"/>
    <x v="3"/>
    <n v="11"/>
    <n v="15"/>
    <n v="58"/>
    <n v="8"/>
    <s v="Carrier C"/>
    <n v="3.88"/>
    <x v="0"/>
    <x v="1"/>
    <n v="14"/>
    <n v="314"/>
    <n v="24"/>
    <n v="1.0900000000000001"/>
    <s v="Pending"/>
    <n v="1"/>
    <s v="Sea"/>
    <x v="2"/>
    <n v="134.37"/>
  </r>
  <r>
    <x v="2"/>
    <x v="7"/>
    <x v="7"/>
    <x v="7"/>
    <x v="7"/>
    <n v="8496.1"/>
    <x v="1"/>
    <n v="93"/>
    <n v="17"/>
    <n v="11"/>
    <n v="1"/>
    <s v="Carrier B"/>
    <n v="2.35"/>
    <x v="3"/>
    <x v="3"/>
    <n v="22"/>
    <n v="564"/>
    <n v="1"/>
    <n v="99.47"/>
    <s v="Fail"/>
    <n v="0.4"/>
    <s v="Road"/>
    <x v="1"/>
    <n v="802.06"/>
  </r>
  <r>
    <x v="2"/>
    <x v="8"/>
    <x v="8"/>
    <x v="8"/>
    <x v="8"/>
    <n v="7517.36"/>
    <x v="1"/>
    <n v="5"/>
    <n v="10"/>
    <n v="15"/>
    <n v="7"/>
    <s v="Carrier C"/>
    <n v="3.4"/>
    <x v="3"/>
    <x v="0"/>
    <n v="13"/>
    <n v="769"/>
    <n v="8"/>
    <n v="11.42"/>
    <s v="Pending"/>
    <n v="2.71"/>
    <s v="Sea"/>
    <x v="0"/>
    <n v="505.56"/>
  </r>
  <r>
    <x v="1"/>
    <x v="9"/>
    <x v="9"/>
    <x v="9"/>
    <x v="9"/>
    <n v="4971.1499999999996"/>
    <x v="2"/>
    <n v="14"/>
    <n v="27"/>
    <n v="83"/>
    <n v="1"/>
    <s v="Carrier A"/>
    <n v="7.17"/>
    <x v="4"/>
    <x v="4"/>
    <n v="29"/>
    <n v="963"/>
    <n v="23"/>
    <n v="47.96"/>
    <s v="Pending"/>
    <n v="3.84"/>
    <s v="Rail"/>
    <x v="0"/>
    <n v="995.93"/>
  </r>
  <r>
    <x v="1"/>
    <x v="10"/>
    <x v="10"/>
    <x v="10"/>
    <x v="10"/>
    <n v="2330.9699999999998"/>
    <x v="0"/>
    <n v="51"/>
    <n v="13"/>
    <n v="80"/>
    <n v="2"/>
    <s v="Carrier C"/>
    <n v="8.67"/>
    <x v="2"/>
    <x v="1"/>
    <n v="18"/>
    <n v="830"/>
    <n v="5"/>
    <n v="96.53"/>
    <s v="Pass"/>
    <n v="1.73"/>
    <s v="Road"/>
    <x v="0"/>
    <n v="806.1"/>
  </r>
  <r>
    <x v="1"/>
    <x v="11"/>
    <x v="11"/>
    <x v="1"/>
    <x v="11"/>
    <n v="6099.94"/>
    <x v="1"/>
    <n v="46"/>
    <n v="23"/>
    <n v="60"/>
    <n v="1"/>
    <s v="Carrier A"/>
    <n v="4.5199999999999996"/>
    <x v="4"/>
    <x v="1"/>
    <n v="28"/>
    <n v="362"/>
    <n v="11"/>
    <n v="27.59"/>
    <s v="Pending"/>
    <n v="0.02"/>
    <s v="Air"/>
    <x v="2"/>
    <n v="126.72"/>
  </r>
  <r>
    <x v="0"/>
    <x v="12"/>
    <x v="12"/>
    <x v="11"/>
    <x v="12"/>
    <n v="2873.74"/>
    <x v="2"/>
    <n v="100"/>
    <n v="30"/>
    <n v="85"/>
    <n v="4"/>
    <s v="Carrier A"/>
    <n v="1.33"/>
    <x v="3"/>
    <x v="1"/>
    <n v="3"/>
    <n v="563"/>
    <n v="3"/>
    <n v="32.32"/>
    <s v="Fail"/>
    <n v="2.16"/>
    <s v="Road"/>
    <x v="0"/>
    <n v="402.97"/>
  </r>
  <r>
    <x v="1"/>
    <x v="13"/>
    <x v="13"/>
    <x v="12"/>
    <x v="13"/>
    <n v="4052.74"/>
    <x v="3"/>
    <n v="80"/>
    <n v="8"/>
    <n v="48"/>
    <n v="9"/>
    <s v="Carrier A"/>
    <n v="9.5399999999999991"/>
    <x v="2"/>
    <x v="3"/>
    <n v="23"/>
    <n v="173"/>
    <n v="10"/>
    <n v="97.83"/>
    <s v="Pending"/>
    <n v="1.63"/>
    <s v="Road"/>
    <x v="0"/>
    <n v="547.24"/>
  </r>
  <r>
    <x v="1"/>
    <x v="14"/>
    <x v="14"/>
    <x v="4"/>
    <x v="14"/>
    <n v="8653.57"/>
    <x v="0"/>
    <n v="54"/>
    <n v="29"/>
    <n v="78"/>
    <n v="5"/>
    <s v="Carrier B"/>
    <n v="2.04"/>
    <x v="1"/>
    <x v="1"/>
    <n v="25"/>
    <n v="558"/>
    <n v="14"/>
    <n v="5.79"/>
    <s v="Pending"/>
    <n v="0.1"/>
    <s v="Air"/>
    <x v="0"/>
    <n v="929.24"/>
  </r>
  <r>
    <x v="1"/>
    <x v="15"/>
    <x v="15"/>
    <x v="13"/>
    <x v="15"/>
    <n v="5442.09"/>
    <x v="0"/>
    <n v="9"/>
    <n v="8"/>
    <n v="69"/>
    <n v="7"/>
    <s v="Carrier B"/>
    <n v="2.42"/>
    <x v="1"/>
    <x v="3"/>
    <n v="14"/>
    <n v="580"/>
    <n v="7"/>
    <n v="97.12"/>
    <s v="Pass"/>
    <n v="2.2599999999999998"/>
    <s v="Sea"/>
    <x v="0"/>
    <n v="127.86"/>
  </r>
  <r>
    <x v="1"/>
    <x v="16"/>
    <x v="16"/>
    <x v="14"/>
    <x v="16"/>
    <n v="6453.8"/>
    <x v="1"/>
    <n v="2"/>
    <n v="5"/>
    <n v="78"/>
    <n v="1"/>
    <s v="Carrier B"/>
    <n v="4.1900000000000004"/>
    <x v="1"/>
    <x v="3"/>
    <n v="3"/>
    <n v="399"/>
    <n v="21"/>
    <n v="77.11"/>
    <s v="Pass"/>
    <n v="1.01"/>
    <s v="Air"/>
    <x v="2"/>
    <n v="865.53"/>
  </r>
  <r>
    <x v="2"/>
    <x v="17"/>
    <x v="17"/>
    <x v="15"/>
    <x v="17"/>
    <n v="2629.4"/>
    <x v="1"/>
    <n v="45"/>
    <n v="17"/>
    <n v="85"/>
    <n v="9"/>
    <s v="Carrier C"/>
    <n v="3.59"/>
    <x v="1"/>
    <x v="4"/>
    <n v="7"/>
    <n v="453"/>
    <n v="16"/>
    <n v="47.68"/>
    <s v="Fail"/>
    <n v="0.1"/>
    <s v="Air"/>
    <x v="1"/>
    <n v="670.93"/>
  </r>
  <r>
    <x v="0"/>
    <x v="18"/>
    <x v="18"/>
    <x v="16"/>
    <x v="18"/>
    <n v="9364.67"/>
    <x v="2"/>
    <n v="10"/>
    <n v="10"/>
    <n v="46"/>
    <n v="8"/>
    <s v="Carrier C"/>
    <n v="4.34"/>
    <x v="4"/>
    <x v="1"/>
    <n v="18"/>
    <n v="374"/>
    <n v="17"/>
    <n v="27.11"/>
    <s v="Pending"/>
    <n v="2.23"/>
    <s v="Sea"/>
    <x v="2"/>
    <n v="593.48"/>
  </r>
  <r>
    <x v="1"/>
    <x v="19"/>
    <x v="19"/>
    <x v="17"/>
    <x v="19"/>
    <n v="2553.5"/>
    <x v="2"/>
    <n v="48"/>
    <n v="11"/>
    <n v="94"/>
    <n v="3"/>
    <s v="Carrier A"/>
    <n v="4.74"/>
    <x v="3"/>
    <x v="4"/>
    <n v="20"/>
    <n v="694"/>
    <n v="16"/>
    <n v="82.37"/>
    <s v="Fail"/>
    <n v="3.65"/>
    <s v="Road"/>
    <x v="1"/>
    <n v="477.31"/>
  </r>
  <r>
    <x v="1"/>
    <x v="20"/>
    <x v="20"/>
    <x v="18"/>
    <x v="20"/>
    <n v="8128.03"/>
    <x v="2"/>
    <n v="27"/>
    <n v="12"/>
    <n v="68"/>
    <n v="6"/>
    <s v="Carrier A"/>
    <n v="8.8800000000000008"/>
    <x v="1"/>
    <x v="4"/>
    <n v="29"/>
    <n v="309"/>
    <n v="6"/>
    <n v="65.69"/>
    <s v="Pass"/>
    <n v="4.2300000000000004"/>
    <s v="Air"/>
    <x v="0"/>
    <n v="493.87"/>
  </r>
  <r>
    <x v="2"/>
    <x v="21"/>
    <x v="21"/>
    <x v="19"/>
    <x v="21"/>
    <n v="7087.05"/>
    <x v="2"/>
    <n v="69"/>
    <n v="25"/>
    <n v="7"/>
    <n v="6"/>
    <s v="Carrier B"/>
    <n v="6.04"/>
    <x v="2"/>
    <x v="4"/>
    <n v="19"/>
    <n v="791"/>
    <n v="4"/>
    <n v="61.74"/>
    <s v="Pending"/>
    <n v="0.02"/>
    <s v="Air"/>
    <x v="1"/>
    <n v="523.36"/>
  </r>
  <r>
    <x v="0"/>
    <x v="22"/>
    <x v="22"/>
    <x v="0"/>
    <x v="22"/>
    <n v="2390.81"/>
    <x v="2"/>
    <n v="71"/>
    <n v="1"/>
    <n v="63"/>
    <n v="10"/>
    <s v="Carrier A"/>
    <n v="9.57"/>
    <x v="3"/>
    <x v="1"/>
    <n v="22"/>
    <n v="780"/>
    <n v="28"/>
    <n v="50.12"/>
    <s v="Fail"/>
    <n v="2.59"/>
    <s v="Rail"/>
    <x v="1"/>
    <n v="205.57"/>
  </r>
  <r>
    <x v="2"/>
    <x v="23"/>
    <x v="23"/>
    <x v="20"/>
    <x v="23"/>
    <n v="8858.3700000000008"/>
    <x v="2"/>
    <n v="84"/>
    <n v="5"/>
    <n v="29"/>
    <n v="7"/>
    <s v="Carrier A"/>
    <n v="2.92"/>
    <x v="2"/>
    <x v="1"/>
    <n v="11"/>
    <n v="568"/>
    <n v="29"/>
    <n v="98.61"/>
    <s v="Pending"/>
    <n v="1.34"/>
    <s v="Rail"/>
    <x v="2"/>
    <n v="196.33"/>
  </r>
  <r>
    <x v="0"/>
    <x v="24"/>
    <x v="24"/>
    <x v="21"/>
    <x v="24"/>
    <n v="9049.08"/>
    <x v="3"/>
    <n v="4"/>
    <n v="26"/>
    <n v="2"/>
    <n v="8"/>
    <s v="Carrier C"/>
    <n v="9.74"/>
    <x v="4"/>
    <x v="3"/>
    <n v="28"/>
    <n v="447"/>
    <n v="3"/>
    <n v="40.380000000000003"/>
    <s v="Pending"/>
    <n v="3.69"/>
    <s v="Air"/>
    <x v="2"/>
    <n v="758.72"/>
  </r>
  <r>
    <x v="0"/>
    <x v="25"/>
    <x v="25"/>
    <x v="22"/>
    <x v="25"/>
    <n v="2174.7800000000002"/>
    <x v="3"/>
    <n v="82"/>
    <n v="11"/>
    <n v="52"/>
    <n v="3"/>
    <s v="Carrier C"/>
    <n v="2.23"/>
    <x v="3"/>
    <x v="1"/>
    <n v="19"/>
    <n v="934"/>
    <n v="23"/>
    <n v="78.28"/>
    <s v="Pending"/>
    <n v="3.8"/>
    <s v="Road"/>
    <x v="0"/>
    <n v="458.54"/>
  </r>
  <r>
    <x v="0"/>
    <x v="26"/>
    <x v="26"/>
    <x v="23"/>
    <x v="26"/>
    <n v="3716.49"/>
    <x v="3"/>
    <n v="59"/>
    <n v="16"/>
    <n v="48"/>
    <n v="4"/>
    <s v="Carrier B"/>
    <n v="6.51"/>
    <x v="4"/>
    <x v="3"/>
    <n v="26"/>
    <n v="171"/>
    <n v="4"/>
    <n v="15.97"/>
    <s v="Pass"/>
    <n v="2.12"/>
    <s v="Rail"/>
    <x v="2"/>
    <n v="617.87"/>
  </r>
  <r>
    <x v="2"/>
    <x v="27"/>
    <x v="27"/>
    <x v="24"/>
    <x v="27"/>
    <n v="2686.46"/>
    <x v="2"/>
    <n v="47"/>
    <n v="9"/>
    <n v="62"/>
    <n v="8"/>
    <s v="Carrier C"/>
    <n v="7.41"/>
    <x v="2"/>
    <x v="0"/>
    <n v="25"/>
    <n v="291"/>
    <n v="4"/>
    <n v="10.53"/>
    <s v="Fail"/>
    <n v="2.86"/>
    <s v="Sea"/>
    <x v="0"/>
    <n v="762.46"/>
  </r>
  <r>
    <x v="2"/>
    <x v="28"/>
    <x v="28"/>
    <x v="25"/>
    <x v="28"/>
    <n v="6117.32"/>
    <x v="1"/>
    <n v="48"/>
    <n v="15"/>
    <n v="24"/>
    <n v="4"/>
    <s v="Carrier B"/>
    <n v="9.9"/>
    <x v="1"/>
    <x v="0"/>
    <n v="13"/>
    <n v="171"/>
    <n v="7"/>
    <n v="59.43"/>
    <s v="Fail"/>
    <n v="0.82"/>
    <s v="Air"/>
    <x v="2"/>
    <n v="123.44"/>
  </r>
  <r>
    <x v="2"/>
    <x v="29"/>
    <x v="29"/>
    <x v="26"/>
    <x v="29"/>
    <n v="8318.9"/>
    <x v="1"/>
    <n v="45"/>
    <n v="5"/>
    <n v="67"/>
    <n v="7"/>
    <s v="Carrier B"/>
    <n v="8.1"/>
    <x v="1"/>
    <x v="1"/>
    <n v="16"/>
    <n v="329"/>
    <n v="7"/>
    <n v="39.29"/>
    <s v="Pass"/>
    <n v="3.88"/>
    <s v="Road"/>
    <x v="0"/>
    <n v="764.94"/>
  </r>
  <r>
    <x v="0"/>
    <x v="30"/>
    <x v="30"/>
    <x v="27"/>
    <x v="30"/>
    <n v="2766.34"/>
    <x v="3"/>
    <n v="60"/>
    <n v="26"/>
    <n v="35"/>
    <n v="7"/>
    <s v="Carrier B"/>
    <n v="8.9499999999999993"/>
    <x v="3"/>
    <x v="1"/>
    <n v="27"/>
    <n v="806"/>
    <n v="30"/>
    <n v="51.63"/>
    <s v="Pending"/>
    <n v="0.97"/>
    <s v="Road"/>
    <x v="1"/>
    <n v="880.08"/>
  </r>
  <r>
    <x v="1"/>
    <x v="31"/>
    <x v="31"/>
    <x v="28"/>
    <x v="31"/>
    <n v="9655.14"/>
    <x v="3"/>
    <n v="6"/>
    <n v="17"/>
    <n v="44"/>
    <n v="4"/>
    <s v="Carrier B"/>
    <n v="2.68"/>
    <x v="0"/>
    <x v="4"/>
    <n v="24"/>
    <n v="461"/>
    <n v="8"/>
    <n v="60.25"/>
    <s v="Pending"/>
    <n v="2.99"/>
    <s v="Rail"/>
    <x v="1"/>
    <n v="609.38"/>
  </r>
  <r>
    <x v="1"/>
    <x v="32"/>
    <x v="32"/>
    <x v="29"/>
    <x v="32"/>
    <n v="9571.5499999999993"/>
    <x v="2"/>
    <n v="89"/>
    <n v="13"/>
    <n v="64"/>
    <n v="4"/>
    <s v="Carrier C"/>
    <n v="6.6"/>
    <x v="0"/>
    <x v="1"/>
    <n v="30"/>
    <n v="737"/>
    <n v="7"/>
    <n v="29.69"/>
    <s v="Pass"/>
    <n v="1.95"/>
    <s v="Road"/>
    <x v="2"/>
    <n v="761.17"/>
  </r>
  <r>
    <x v="2"/>
    <x v="33"/>
    <x v="33"/>
    <x v="30"/>
    <x v="33"/>
    <n v="5150"/>
    <x v="0"/>
    <n v="4"/>
    <n v="17"/>
    <n v="95"/>
    <n v="9"/>
    <s v="Carrier C"/>
    <n v="4.8600000000000003"/>
    <x v="2"/>
    <x v="4"/>
    <n v="1"/>
    <n v="251"/>
    <n v="23"/>
    <n v="23.85"/>
    <s v="Fail"/>
    <n v="3.54"/>
    <s v="Sea"/>
    <x v="2"/>
    <n v="371.26"/>
  </r>
  <r>
    <x v="1"/>
    <x v="34"/>
    <x v="34"/>
    <x v="31"/>
    <x v="34"/>
    <n v="9061.7099999999991"/>
    <x v="2"/>
    <n v="1"/>
    <n v="26"/>
    <n v="21"/>
    <n v="7"/>
    <s v="Carrier A"/>
    <n v="1.02"/>
    <x v="1"/>
    <x v="4"/>
    <n v="4"/>
    <n v="452"/>
    <n v="10"/>
    <n v="10.75"/>
    <s v="Pass"/>
    <n v="0.65"/>
    <s v="Road"/>
    <x v="0"/>
    <n v="510.36"/>
  </r>
  <r>
    <x v="2"/>
    <x v="35"/>
    <x v="35"/>
    <x v="10"/>
    <x v="35"/>
    <n v="6541.33"/>
    <x v="1"/>
    <n v="42"/>
    <n v="27"/>
    <n v="85"/>
    <n v="8"/>
    <s v="Carrier C"/>
    <n v="5.29"/>
    <x v="1"/>
    <x v="2"/>
    <n v="3"/>
    <n v="367"/>
    <n v="2"/>
    <n v="58"/>
    <s v="Pass"/>
    <n v="0.54"/>
    <s v="Sea"/>
    <x v="1"/>
    <n v="553.41999999999996"/>
  </r>
  <r>
    <x v="1"/>
    <x v="36"/>
    <x v="36"/>
    <x v="2"/>
    <x v="36"/>
    <n v="7573.4"/>
    <x v="1"/>
    <n v="18"/>
    <n v="23"/>
    <n v="28"/>
    <n v="3"/>
    <s v="Carrier B"/>
    <n v="2.11"/>
    <x v="4"/>
    <x v="2"/>
    <n v="26"/>
    <n v="671"/>
    <n v="19"/>
    <n v="45.53"/>
    <s v="Fail"/>
    <n v="3.81"/>
    <s v="Air"/>
    <x v="1"/>
    <n v="403.81"/>
  </r>
  <r>
    <x v="1"/>
    <x v="37"/>
    <x v="37"/>
    <x v="12"/>
    <x v="36"/>
    <n v="2438.34"/>
    <x v="1"/>
    <n v="25"/>
    <n v="8"/>
    <n v="21"/>
    <n v="9"/>
    <s v="Carrier A"/>
    <n v="1.53"/>
    <x v="0"/>
    <x v="1"/>
    <n v="24"/>
    <n v="867"/>
    <n v="15"/>
    <n v="34.340000000000003"/>
    <s v="Pending"/>
    <n v="2.61"/>
    <s v="Sea"/>
    <x v="2"/>
    <n v="183.93"/>
  </r>
  <r>
    <x v="2"/>
    <x v="38"/>
    <x v="38"/>
    <x v="32"/>
    <x v="37"/>
    <n v="9692.32"/>
    <x v="0"/>
    <n v="69"/>
    <n v="1"/>
    <n v="88"/>
    <n v="5"/>
    <s v="Carrier B"/>
    <n v="9.24"/>
    <x v="2"/>
    <x v="0"/>
    <n v="10"/>
    <n v="841"/>
    <n v="12"/>
    <n v="5.93"/>
    <s v="Pending"/>
    <n v="0.61"/>
    <s v="Air"/>
    <x v="0"/>
    <n v="339.67"/>
  </r>
  <r>
    <x v="1"/>
    <x v="39"/>
    <x v="39"/>
    <x v="4"/>
    <x v="38"/>
    <n v="1912.47"/>
    <x v="1"/>
    <n v="78"/>
    <n v="29"/>
    <n v="34"/>
    <n v="3"/>
    <s v="Carrier A"/>
    <n v="5.56"/>
    <x v="4"/>
    <x v="1"/>
    <n v="30"/>
    <n v="791"/>
    <n v="6"/>
    <n v="9.01"/>
    <s v="Fail"/>
    <n v="1.45"/>
    <s v="Air"/>
    <x v="0"/>
    <n v="653.66999999999996"/>
  </r>
  <r>
    <x v="1"/>
    <x v="40"/>
    <x v="40"/>
    <x v="33"/>
    <x v="39"/>
    <n v="5724.96"/>
    <x v="1"/>
    <n v="90"/>
    <n v="20"/>
    <n v="39"/>
    <n v="8"/>
    <s v="Carrier C"/>
    <n v="7.23"/>
    <x v="1"/>
    <x v="1"/>
    <n v="18"/>
    <n v="793"/>
    <n v="1"/>
    <n v="88.18"/>
    <s v="Pending"/>
    <n v="4.21"/>
    <s v="Road"/>
    <x v="2"/>
    <n v="529.80999999999995"/>
  </r>
  <r>
    <x v="1"/>
    <x v="41"/>
    <x v="41"/>
    <x v="9"/>
    <x v="40"/>
    <n v="5521.21"/>
    <x v="1"/>
    <n v="64"/>
    <n v="19"/>
    <n v="38"/>
    <n v="8"/>
    <s v="Carrier B"/>
    <n v="5.77"/>
    <x v="3"/>
    <x v="4"/>
    <n v="18"/>
    <n v="892"/>
    <n v="7"/>
    <n v="95.33"/>
    <s v="Fail"/>
    <n v="0.05"/>
    <s v="Sea"/>
    <x v="2"/>
    <n v="275.52"/>
  </r>
  <r>
    <x v="1"/>
    <x v="42"/>
    <x v="42"/>
    <x v="34"/>
    <x v="41"/>
    <n v="1839.61"/>
    <x v="1"/>
    <n v="22"/>
    <n v="27"/>
    <n v="57"/>
    <n v="4"/>
    <s v="Carrier C"/>
    <n v="7.53"/>
    <x v="2"/>
    <x v="3"/>
    <n v="26"/>
    <n v="179"/>
    <n v="7"/>
    <n v="96.42"/>
    <s v="Fail"/>
    <n v="4.9400000000000004"/>
    <s v="Road"/>
    <x v="2"/>
    <n v="635.66"/>
  </r>
  <r>
    <x v="0"/>
    <x v="43"/>
    <x v="43"/>
    <x v="35"/>
    <x v="42"/>
    <n v="5737.43"/>
    <x v="2"/>
    <n v="36"/>
    <n v="29"/>
    <n v="85"/>
    <n v="9"/>
    <s v="Carrier B"/>
    <n v="3.69"/>
    <x v="2"/>
    <x v="0"/>
    <n v="1"/>
    <n v="206"/>
    <n v="23"/>
    <n v="26.28"/>
    <s v="Pending"/>
    <n v="0.37"/>
    <s v="Air"/>
    <x v="2"/>
    <n v="716.04"/>
  </r>
  <r>
    <x v="2"/>
    <x v="44"/>
    <x v="44"/>
    <x v="2"/>
    <x v="43"/>
    <n v="7152.29"/>
    <x v="1"/>
    <n v="13"/>
    <n v="19"/>
    <n v="72"/>
    <n v="6"/>
    <s v="Carrier C"/>
    <n v="7.58"/>
    <x v="4"/>
    <x v="2"/>
    <n v="7"/>
    <n v="834"/>
    <n v="18"/>
    <n v="22.55"/>
    <s v="Fail"/>
    <n v="2.96"/>
    <s v="Rail"/>
    <x v="2"/>
    <n v="610.45000000000005"/>
  </r>
  <r>
    <x v="0"/>
    <x v="45"/>
    <x v="45"/>
    <x v="36"/>
    <x v="44"/>
    <n v="5267.96"/>
    <x v="3"/>
    <n v="93"/>
    <n v="7"/>
    <n v="52"/>
    <n v="6"/>
    <s v="Carrier B"/>
    <n v="5.22"/>
    <x v="4"/>
    <x v="4"/>
    <n v="25"/>
    <n v="794"/>
    <n v="25"/>
    <n v="66.31"/>
    <s v="Pass"/>
    <n v="3.22"/>
    <s v="Rail"/>
    <x v="2"/>
    <n v="495.31"/>
  </r>
  <r>
    <x v="0"/>
    <x v="46"/>
    <x v="46"/>
    <x v="32"/>
    <x v="45"/>
    <n v="2556.77"/>
    <x v="0"/>
    <n v="92"/>
    <n v="29"/>
    <n v="6"/>
    <n v="8"/>
    <s v="Carrier B"/>
    <n v="4.07"/>
    <x v="0"/>
    <x v="4"/>
    <n v="18"/>
    <n v="870"/>
    <n v="23"/>
    <n v="77.319999999999993"/>
    <s v="Pending"/>
    <n v="3.65"/>
    <s v="Road"/>
    <x v="0"/>
    <n v="380.44"/>
  </r>
  <r>
    <x v="1"/>
    <x v="47"/>
    <x v="47"/>
    <x v="37"/>
    <x v="46"/>
    <n v="7089.47"/>
    <x v="3"/>
    <n v="4"/>
    <n v="15"/>
    <n v="51"/>
    <n v="9"/>
    <s v="Carrier B"/>
    <n v="8.98"/>
    <x v="1"/>
    <x v="1"/>
    <n v="10"/>
    <n v="964"/>
    <n v="20"/>
    <n v="19.71"/>
    <s v="Pending"/>
    <n v="0.38"/>
    <s v="Rail"/>
    <x v="2"/>
    <n v="581.6"/>
  </r>
  <r>
    <x v="0"/>
    <x v="48"/>
    <x v="48"/>
    <x v="28"/>
    <x v="47"/>
    <n v="7397.07"/>
    <x v="0"/>
    <n v="30"/>
    <n v="16"/>
    <n v="9"/>
    <n v="3"/>
    <s v="Carrier C"/>
    <n v="7.1"/>
    <x v="4"/>
    <x v="0"/>
    <n v="9"/>
    <n v="109"/>
    <n v="18"/>
    <n v="23.13"/>
    <s v="Fail"/>
    <n v="1.7"/>
    <s v="Rail"/>
    <x v="0"/>
    <n v="768.65"/>
  </r>
  <r>
    <x v="2"/>
    <x v="49"/>
    <x v="49"/>
    <x v="38"/>
    <x v="48"/>
    <n v="8001.61"/>
    <x v="2"/>
    <n v="97"/>
    <n v="24"/>
    <n v="9"/>
    <n v="6"/>
    <s v="Carrier C"/>
    <n v="2.5099999999999998"/>
    <x v="2"/>
    <x v="2"/>
    <n v="28"/>
    <n v="177"/>
    <n v="28"/>
    <n v="14.15"/>
    <s v="Pass"/>
    <n v="2.83"/>
    <s v="Rail"/>
    <x v="2"/>
    <n v="336.89"/>
  </r>
  <r>
    <x v="2"/>
    <x v="50"/>
    <x v="50"/>
    <x v="39"/>
    <x v="49"/>
    <n v="5910.89"/>
    <x v="1"/>
    <n v="31"/>
    <n v="23"/>
    <n v="82"/>
    <n v="10"/>
    <s v="Carrier A"/>
    <n v="6.25"/>
    <x v="4"/>
    <x v="2"/>
    <n v="20"/>
    <n v="306"/>
    <n v="21"/>
    <n v="45.18"/>
    <s v="Fail"/>
    <n v="4.75"/>
    <s v="Rail"/>
    <x v="0"/>
    <n v="496.25"/>
  </r>
  <r>
    <x v="0"/>
    <x v="51"/>
    <x v="51"/>
    <x v="40"/>
    <x v="50"/>
    <n v="9866.4699999999993"/>
    <x v="3"/>
    <n v="100"/>
    <n v="4"/>
    <n v="52"/>
    <n v="1"/>
    <s v="Carrier A"/>
    <n v="4.78"/>
    <x v="2"/>
    <x v="3"/>
    <n v="18"/>
    <n v="673"/>
    <n v="28"/>
    <n v="14.19"/>
    <s v="Pending"/>
    <n v="1.77"/>
    <s v="Road"/>
    <x v="2"/>
    <n v="694.98"/>
  </r>
  <r>
    <x v="1"/>
    <x v="52"/>
    <x v="52"/>
    <x v="36"/>
    <x v="51"/>
    <n v="9435.76"/>
    <x v="3"/>
    <n v="64"/>
    <n v="11"/>
    <n v="11"/>
    <n v="1"/>
    <s v="Carrier B"/>
    <n v="8.6300000000000008"/>
    <x v="1"/>
    <x v="0"/>
    <n v="10"/>
    <n v="727"/>
    <n v="27"/>
    <n v="9.17"/>
    <s v="Pending"/>
    <n v="2.12"/>
    <s v="Air"/>
    <x v="1"/>
    <n v="602.9"/>
  </r>
  <r>
    <x v="1"/>
    <x v="53"/>
    <x v="53"/>
    <x v="37"/>
    <x v="52"/>
    <n v="8232.33"/>
    <x v="3"/>
    <n v="96"/>
    <n v="25"/>
    <n v="54"/>
    <n v="3"/>
    <s v="Carrier B"/>
    <n v="1.01"/>
    <x v="1"/>
    <x v="2"/>
    <n v="1"/>
    <n v="631"/>
    <n v="17"/>
    <n v="83.34"/>
    <s v="Pending"/>
    <n v="1.41"/>
    <s v="Air"/>
    <x v="0"/>
    <n v="750.74"/>
  </r>
  <r>
    <x v="0"/>
    <x v="54"/>
    <x v="54"/>
    <x v="10"/>
    <x v="53"/>
    <n v="6088.02"/>
    <x v="0"/>
    <n v="33"/>
    <n v="22"/>
    <n v="61"/>
    <n v="3"/>
    <s v="Carrier B"/>
    <n v="4.3099999999999996"/>
    <x v="1"/>
    <x v="1"/>
    <n v="26"/>
    <n v="497"/>
    <n v="29"/>
    <n v="30.19"/>
    <s v="Pass"/>
    <n v="2.48"/>
    <s v="Road"/>
    <x v="0"/>
    <n v="814.07"/>
  </r>
  <r>
    <x v="0"/>
    <x v="55"/>
    <x v="55"/>
    <x v="41"/>
    <x v="54"/>
    <n v="2925.68"/>
    <x v="3"/>
    <n v="97"/>
    <n v="11"/>
    <n v="11"/>
    <n v="5"/>
    <s v="Carrier A"/>
    <n v="5.01"/>
    <x v="4"/>
    <x v="2"/>
    <n v="27"/>
    <n v="918"/>
    <n v="5"/>
    <n v="30.32"/>
    <s v="Fail"/>
    <n v="4.55"/>
    <s v="Sea"/>
    <x v="0"/>
    <n v="323.01"/>
  </r>
  <r>
    <x v="1"/>
    <x v="56"/>
    <x v="56"/>
    <x v="42"/>
    <x v="55"/>
    <n v="4767.0200000000004"/>
    <x v="0"/>
    <n v="25"/>
    <n v="23"/>
    <n v="83"/>
    <n v="5"/>
    <s v="Carrier C"/>
    <n v="1.77"/>
    <x v="1"/>
    <x v="0"/>
    <n v="24"/>
    <n v="826"/>
    <n v="28"/>
    <n v="12.84"/>
    <s v="Pass"/>
    <n v="1.17"/>
    <s v="Air"/>
    <x v="0"/>
    <n v="832.21"/>
  </r>
  <r>
    <x v="0"/>
    <x v="57"/>
    <x v="57"/>
    <x v="43"/>
    <x v="56"/>
    <n v="1605.87"/>
    <x v="2"/>
    <n v="5"/>
    <n v="18"/>
    <n v="51"/>
    <n v="1"/>
    <s v="Carrier B"/>
    <n v="9.16"/>
    <x v="4"/>
    <x v="2"/>
    <n v="21"/>
    <n v="588"/>
    <n v="25"/>
    <n v="67.78"/>
    <s v="Pending"/>
    <n v="2.5099999999999998"/>
    <s v="Rail"/>
    <x v="2"/>
    <n v="482.19"/>
  </r>
  <r>
    <x v="1"/>
    <x v="58"/>
    <x v="58"/>
    <x v="44"/>
    <x v="57"/>
    <n v="2021.15"/>
    <x v="0"/>
    <n v="10"/>
    <n v="5"/>
    <n v="44"/>
    <n v="7"/>
    <s v="Carrier A"/>
    <n v="4.9400000000000004"/>
    <x v="0"/>
    <x v="2"/>
    <n v="18"/>
    <n v="396"/>
    <n v="7"/>
    <n v="65.05"/>
    <s v="Fail"/>
    <n v="1.73"/>
    <s v="Road"/>
    <x v="0"/>
    <n v="110.36"/>
  </r>
  <r>
    <x v="2"/>
    <x v="59"/>
    <x v="59"/>
    <x v="20"/>
    <x v="58"/>
    <n v="1061.6199999999999"/>
    <x v="0"/>
    <n v="100"/>
    <n v="16"/>
    <n v="26"/>
    <n v="7"/>
    <s v="Carrier B"/>
    <n v="7.29"/>
    <x v="1"/>
    <x v="1"/>
    <n v="11"/>
    <n v="176"/>
    <n v="4"/>
    <n v="1.9"/>
    <s v="Fail"/>
    <n v="0.45"/>
    <s v="Air"/>
    <x v="2"/>
    <n v="312.57"/>
  </r>
  <r>
    <x v="1"/>
    <x v="60"/>
    <x v="60"/>
    <x v="41"/>
    <x v="59"/>
    <n v="8864.08"/>
    <x v="1"/>
    <n v="41"/>
    <n v="27"/>
    <n v="72"/>
    <n v="8"/>
    <s v="Carrier C"/>
    <n v="4.38"/>
    <x v="3"/>
    <x v="0"/>
    <n v="29"/>
    <n v="929"/>
    <n v="24"/>
    <n v="87.21"/>
    <s v="Fail"/>
    <n v="2.85"/>
    <s v="Rail"/>
    <x v="2"/>
    <n v="430.17"/>
  </r>
  <r>
    <x v="0"/>
    <x v="61"/>
    <x v="61"/>
    <x v="16"/>
    <x v="60"/>
    <n v="6885.59"/>
    <x v="2"/>
    <n v="32"/>
    <n v="23"/>
    <n v="36"/>
    <n v="7"/>
    <s v="Carrier C"/>
    <n v="9.0299999999999994"/>
    <x v="3"/>
    <x v="1"/>
    <n v="14"/>
    <n v="480"/>
    <n v="12"/>
    <n v="78.7"/>
    <s v="Fail"/>
    <n v="4.37"/>
    <s v="Air"/>
    <x v="2"/>
    <n v="164.37"/>
  </r>
  <r>
    <x v="2"/>
    <x v="62"/>
    <x v="62"/>
    <x v="45"/>
    <x v="61"/>
    <n v="3899.75"/>
    <x v="2"/>
    <n v="86"/>
    <n v="2"/>
    <n v="40"/>
    <n v="7"/>
    <s v="Carrier C"/>
    <n v="7.29"/>
    <x v="4"/>
    <x v="0"/>
    <n v="13"/>
    <n v="751"/>
    <n v="14"/>
    <n v="21.05"/>
    <s v="Pass"/>
    <n v="1.87"/>
    <s v="Sea"/>
    <x v="1"/>
    <n v="320.85000000000002"/>
  </r>
  <r>
    <x v="1"/>
    <x v="63"/>
    <x v="63"/>
    <x v="0"/>
    <x v="62"/>
    <n v="4256.95"/>
    <x v="0"/>
    <n v="54"/>
    <n v="19"/>
    <n v="10"/>
    <n v="4"/>
    <s v="Carrier A"/>
    <n v="2.46"/>
    <x v="0"/>
    <x v="3"/>
    <n v="18"/>
    <n v="736"/>
    <n v="10"/>
    <n v="20.079999999999998"/>
    <s v="Pending"/>
    <n v="3.63"/>
    <s v="Sea"/>
    <x v="2"/>
    <n v="687.29"/>
  </r>
  <r>
    <x v="1"/>
    <x v="64"/>
    <x v="64"/>
    <x v="10"/>
    <x v="63"/>
    <n v="8458.73"/>
    <x v="1"/>
    <n v="73"/>
    <n v="27"/>
    <n v="75"/>
    <n v="6"/>
    <s v="Carrier C"/>
    <n v="4.59"/>
    <x v="1"/>
    <x v="2"/>
    <n v="17"/>
    <n v="328"/>
    <n v="6"/>
    <n v="8.69"/>
    <s v="Fail"/>
    <n v="0.16"/>
    <s v="Air"/>
    <x v="1"/>
    <n v="771.23"/>
  </r>
  <r>
    <x v="1"/>
    <x v="65"/>
    <x v="65"/>
    <x v="46"/>
    <x v="64"/>
    <n v="8354.58"/>
    <x v="3"/>
    <n v="57"/>
    <n v="24"/>
    <n v="54"/>
    <n v="8"/>
    <s v="Carrier C"/>
    <n v="6.58"/>
    <x v="2"/>
    <x v="1"/>
    <n v="16"/>
    <n v="358"/>
    <n v="21"/>
    <n v="1.6"/>
    <s v="Fail"/>
    <n v="4.91"/>
    <s v="Rail"/>
    <x v="1"/>
    <n v="555.86"/>
  </r>
  <r>
    <x v="1"/>
    <x v="66"/>
    <x v="66"/>
    <x v="47"/>
    <x v="65"/>
    <n v="8367.7199999999993"/>
    <x v="1"/>
    <n v="13"/>
    <n v="17"/>
    <n v="19"/>
    <n v="8"/>
    <s v="Carrier A"/>
    <n v="2.2200000000000002"/>
    <x v="2"/>
    <x v="1"/>
    <n v="24"/>
    <n v="867"/>
    <n v="28"/>
    <n v="42.08"/>
    <s v="Fail"/>
    <n v="3.45"/>
    <s v="Road"/>
    <x v="2"/>
    <n v="393.84"/>
  </r>
  <r>
    <x v="1"/>
    <x v="67"/>
    <x v="67"/>
    <x v="41"/>
    <x v="66"/>
    <n v="9473.7999999999993"/>
    <x v="2"/>
    <n v="12"/>
    <n v="9"/>
    <n v="71"/>
    <n v="9"/>
    <s v="Carrier C"/>
    <n v="9.15"/>
    <x v="1"/>
    <x v="0"/>
    <n v="10"/>
    <n v="198"/>
    <n v="11"/>
    <n v="7.06"/>
    <s v="Pass"/>
    <n v="0.13"/>
    <s v="Sea"/>
    <x v="1"/>
    <n v="169.27"/>
  </r>
  <r>
    <x v="0"/>
    <x v="68"/>
    <x v="68"/>
    <x v="48"/>
    <x v="67"/>
    <n v="3550.22"/>
    <x v="0"/>
    <n v="0"/>
    <n v="8"/>
    <n v="58"/>
    <n v="8"/>
    <s v="Carrier B"/>
    <n v="1.19"/>
    <x v="4"/>
    <x v="3"/>
    <n v="2"/>
    <n v="375"/>
    <n v="18"/>
    <n v="97.11"/>
    <s v="Fail"/>
    <n v="1.98"/>
    <s v="Rail"/>
    <x v="2"/>
    <n v="299.70999999999998"/>
  </r>
  <r>
    <x v="1"/>
    <x v="69"/>
    <x v="69"/>
    <x v="49"/>
    <x v="68"/>
    <n v="1752.38"/>
    <x v="0"/>
    <n v="95"/>
    <n v="1"/>
    <n v="27"/>
    <n v="3"/>
    <s v="Carrier B"/>
    <n v="9.7100000000000009"/>
    <x v="3"/>
    <x v="1"/>
    <n v="9"/>
    <n v="862"/>
    <n v="7"/>
    <n v="77.63"/>
    <s v="Pending"/>
    <n v="1.36"/>
    <s v="Air"/>
    <x v="2"/>
    <n v="207.66"/>
  </r>
  <r>
    <x v="0"/>
    <x v="70"/>
    <x v="70"/>
    <x v="42"/>
    <x v="69"/>
    <n v="7014.89"/>
    <x v="1"/>
    <n v="10"/>
    <n v="12"/>
    <n v="22"/>
    <n v="4"/>
    <s v="Carrier B"/>
    <n v="6.32"/>
    <x v="1"/>
    <x v="3"/>
    <n v="22"/>
    <n v="775"/>
    <n v="16"/>
    <n v="11.44"/>
    <s v="Pass"/>
    <n v="1.83"/>
    <s v="Road"/>
    <x v="1"/>
    <n v="183.27"/>
  </r>
  <r>
    <x v="2"/>
    <x v="71"/>
    <x v="71"/>
    <x v="50"/>
    <x v="70"/>
    <n v="8180.34"/>
    <x v="1"/>
    <n v="76"/>
    <n v="2"/>
    <n v="26"/>
    <n v="6"/>
    <s v="Carrier A"/>
    <n v="9.23"/>
    <x v="4"/>
    <x v="3"/>
    <n v="2"/>
    <n v="258"/>
    <n v="10"/>
    <n v="30.66"/>
    <s v="Pending"/>
    <n v="2.08"/>
    <s v="Road"/>
    <x v="2"/>
    <n v="405.17"/>
  </r>
  <r>
    <x v="2"/>
    <x v="72"/>
    <x v="72"/>
    <x v="51"/>
    <x v="71"/>
    <n v="2633.12"/>
    <x v="0"/>
    <n v="57"/>
    <n v="29"/>
    <n v="77"/>
    <n v="9"/>
    <s v="Carrier A"/>
    <n v="6.6"/>
    <x v="1"/>
    <x v="3"/>
    <n v="21"/>
    <n v="152"/>
    <n v="11"/>
    <n v="55.76"/>
    <s v="Pending"/>
    <n v="3.21"/>
    <s v="Rail"/>
    <x v="0"/>
    <n v="677.94"/>
  </r>
  <r>
    <x v="2"/>
    <x v="73"/>
    <x v="73"/>
    <x v="11"/>
    <x v="72"/>
    <n v="7910.89"/>
    <x v="3"/>
    <n v="17"/>
    <n v="25"/>
    <n v="66"/>
    <n v="5"/>
    <s v="Carrier B"/>
    <n v="1.51"/>
    <x v="3"/>
    <x v="4"/>
    <n v="13"/>
    <n v="444"/>
    <n v="4"/>
    <n v="46.87"/>
    <s v="Fail"/>
    <n v="4.62"/>
    <s v="Road"/>
    <x v="2"/>
    <n v="866.47"/>
  </r>
  <r>
    <x v="0"/>
    <x v="74"/>
    <x v="74"/>
    <x v="52"/>
    <x v="73"/>
    <n v="5709.95"/>
    <x v="1"/>
    <n v="41"/>
    <n v="6"/>
    <n v="1"/>
    <n v="5"/>
    <s v="Carrier A"/>
    <n v="5.24"/>
    <x v="3"/>
    <x v="2"/>
    <n v="1"/>
    <n v="919"/>
    <n v="9"/>
    <n v="80.58"/>
    <s v="Fail"/>
    <n v="0.4"/>
    <s v="Rail"/>
    <x v="2"/>
    <n v="341.55"/>
  </r>
  <r>
    <x v="1"/>
    <x v="75"/>
    <x v="75"/>
    <x v="48"/>
    <x v="74"/>
    <n v="1889.07"/>
    <x v="0"/>
    <n v="16"/>
    <n v="20"/>
    <n v="56"/>
    <n v="10"/>
    <s v="Carrier C"/>
    <n v="2.4700000000000002"/>
    <x v="1"/>
    <x v="4"/>
    <n v="25"/>
    <n v="759"/>
    <n v="11"/>
    <n v="48.06"/>
    <s v="Pass"/>
    <n v="2.0299999999999998"/>
    <s v="Air"/>
    <x v="1"/>
    <n v="873.13"/>
  </r>
  <r>
    <x v="0"/>
    <x v="76"/>
    <x v="76"/>
    <x v="16"/>
    <x v="75"/>
    <n v="5328.38"/>
    <x v="3"/>
    <n v="38"/>
    <n v="1"/>
    <n v="22"/>
    <n v="10"/>
    <s v="Carrier A"/>
    <n v="7.05"/>
    <x v="4"/>
    <x v="3"/>
    <n v="25"/>
    <n v="985"/>
    <n v="24"/>
    <n v="64.319999999999993"/>
    <s v="Pending"/>
    <n v="2.1800000000000002"/>
    <s v="Rail"/>
    <x v="2"/>
    <n v="997.41"/>
  </r>
  <r>
    <x v="0"/>
    <x v="77"/>
    <x v="77"/>
    <x v="50"/>
    <x v="76"/>
    <n v="2483.7600000000002"/>
    <x v="2"/>
    <n v="96"/>
    <n v="28"/>
    <n v="57"/>
    <n v="4"/>
    <s v="Carrier B"/>
    <n v="6.78"/>
    <x v="1"/>
    <x v="1"/>
    <n v="26"/>
    <n v="334"/>
    <n v="5"/>
    <n v="42.95"/>
    <s v="Pass"/>
    <n v="3.06"/>
    <s v="Road"/>
    <x v="0"/>
    <n v="852.57"/>
  </r>
  <r>
    <x v="0"/>
    <x v="78"/>
    <x v="78"/>
    <x v="53"/>
    <x v="77"/>
    <n v="1292.46"/>
    <x v="2"/>
    <n v="5"/>
    <n v="4"/>
    <n v="51"/>
    <n v="5"/>
    <s v="Carrier B"/>
    <n v="8.4700000000000006"/>
    <x v="2"/>
    <x v="0"/>
    <n v="25"/>
    <n v="858"/>
    <n v="21"/>
    <n v="71.13"/>
    <s v="Pending"/>
    <n v="4.0999999999999996"/>
    <s v="Sea"/>
    <x v="1"/>
    <n v="323.58999999999997"/>
  </r>
  <r>
    <x v="0"/>
    <x v="79"/>
    <x v="79"/>
    <x v="54"/>
    <x v="78"/>
    <n v="7888.72"/>
    <x v="0"/>
    <n v="31"/>
    <n v="25"/>
    <n v="20"/>
    <n v="1"/>
    <s v="Carrier B"/>
    <n v="6.5"/>
    <x v="0"/>
    <x v="3"/>
    <n v="5"/>
    <n v="228"/>
    <n v="12"/>
    <n v="57.87"/>
    <s v="Pending"/>
    <n v="0.17"/>
    <s v="Air"/>
    <x v="1"/>
    <n v="351.5"/>
  </r>
  <r>
    <x v="1"/>
    <x v="80"/>
    <x v="80"/>
    <x v="32"/>
    <x v="79"/>
    <n v="8651.67"/>
    <x v="2"/>
    <n v="39"/>
    <n v="14"/>
    <n v="41"/>
    <n v="2"/>
    <s v="Carrier C"/>
    <n v="2.83"/>
    <x v="0"/>
    <x v="4"/>
    <n v="8"/>
    <n v="202"/>
    <n v="5"/>
    <n v="76.959999999999994"/>
    <s v="Fail"/>
    <n v="2.85"/>
    <s v="Sea"/>
    <x v="0"/>
    <n v="787.78"/>
  </r>
  <r>
    <x v="0"/>
    <x v="81"/>
    <x v="81"/>
    <x v="23"/>
    <x v="80"/>
    <n v="4384.41"/>
    <x v="2"/>
    <n v="48"/>
    <n v="6"/>
    <n v="8"/>
    <n v="5"/>
    <s v="Carrier B"/>
    <n v="4.07"/>
    <x v="0"/>
    <x v="2"/>
    <n v="28"/>
    <n v="698"/>
    <n v="1"/>
    <n v="19.79"/>
    <s v="Pending"/>
    <n v="2.5499999999999998"/>
    <s v="Rail"/>
    <x v="0"/>
    <n v="276.77999999999997"/>
  </r>
  <r>
    <x v="1"/>
    <x v="82"/>
    <x v="60"/>
    <x v="55"/>
    <x v="12"/>
    <n v="2943.38"/>
    <x v="2"/>
    <n v="42"/>
    <n v="19"/>
    <n v="72"/>
    <n v="1"/>
    <s v="Carrier A"/>
    <n v="4.71"/>
    <x v="4"/>
    <x v="0"/>
    <n v="6"/>
    <n v="955"/>
    <n v="26"/>
    <n v="4.47"/>
    <s v="Pending"/>
    <n v="4.1399999999999997"/>
    <s v="Road"/>
    <x v="1"/>
    <n v="589.98"/>
  </r>
  <r>
    <x v="0"/>
    <x v="83"/>
    <x v="82"/>
    <x v="15"/>
    <x v="81"/>
    <n v="2411.75"/>
    <x v="2"/>
    <n v="65"/>
    <n v="24"/>
    <n v="7"/>
    <n v="8"/>
    <s v="Carrier B"/>
    <n v="4.95"/>
    <x v="1"/>
    <x v="3"/>
    <n v="20"/>
    <n v="443"/>
    <n v="5"/>
    <n v="97.73"/>
    <s v="Fail"/>
    <n v="0.77"/>
    <s v="Road"/>
    <x v="2"/>
    <n v="682.97"/>
  </r>
  <r>
    <x v="0"/>
    <x v="84"/>
    <x v="83"/>
    <x v="56"/>
    <x v="82"/>
    <n v="2048.29"/>
    <x v="2"/>
    <n v="73"/>
    <n v="26"/>
    <n v="80"/>
    <n v="10"/>
    <s v="Carrier A"/>
    <n v="8.3800000000000008"/>
    <x v="2"/>
    <x v="4"/>
    <n v="24"/>
    <n v="589"/>
    <n v="22"/>
    <n v="33.81"/>
    <s v="Pass"/>
    <n v="4.84"/>
    <s v="Air"/>
    <x v="0"/>
    <n v="465.46"/>
  </r>
  <r>
    <x v="2"/>
    <x v="85"/>
    <x v="84"/>
    <x v="57"/>
    <x v="83"/>
    <n v="8684.61"/>
    <x v="1"/>
    <n v="15"/>
    <n v="18"/>
    <n v="66"/>
    <n v="2"/>
    <s v="Carrier C"/>
    <n v="8.25"/>
    <x v="2"/>
    <x v="4"/>
    <n v="4"/>
    <n v="211"/>
    <n v="2"/>
    <n v="69.930000000000007"/>
    <s v="Fail"/>
    <n v="1.37"/>
    <s v="Road"/>
    <x v="0"/>
    <n v="842.69"/>
  </r>
  <r>
    <x v="1"/>
    <x v="86"/>
    <x v="85"/>
    <x v="58"/>
    <x v="84"/>
    <n v="1229.5899999999999"/>
    <x v="2"/>
    <n v="32"/>
    <n v="14"/>
    <n v="22"/>
    <n v="6"/>
    <s v="Carrier B"/>
    <n v="1.45"/>
    <x v="1"/>
    <x v="0"/>
    <n v="4"/>
    <n v="569"/>
    <n v="18"/>
    <n v="74.61"/>
    <s v="Pass"/>
    <n v="2.0499999999999998"/>
    <s v="Rail"/>
    <x v="2"/>
    <n v="264.25"/>
  </r>
  <r>
    <x v="0"/>
    <x v="87"/>
    <x v="86"/>
    <x v="59"/>
    <x v="85"/>
    <n v="5133.8500000000004"/>
    <x v="3"/>
    <n v="5"/>
    <n v="7"/>
    <n v="55"/>
    <n v="10"/>
    <s v="Carrier A"/>
    <n v="6.58"/>
    <x v="0"/>
    <x v="4"/>
    <n v="27"/>
    <n v="523"/>
    <n v="17"/>
    <n v="28.7"/>
    <s v="Fail"/>
    <n v="3.69"/>
    <s v="Sea"/>
    <x v="0"/>
    <n v="879.36"/>
  </r>
  <r>
    <x v="2"/>
    <x v="88"/>
    <x v="87"/>
    <x v="60"/>
    <x v="86"/>
    <n v="9444.74"/>
    <x v="3"/>
    <n v="60"/>
    <n v="18"/>
    <n v="85"/>
    <n v="7"/>
    <s v="Carrier A"/>
    <n v="3.8"/>
    <x v="4"/>
    <x v="0"/>
    <n v="21"/>
    <n v="953"/>
    <n v="11"/>
    <n v="68.180000000000007"/>
    <s v="Pending"/>
    <n v="0.72"/>
    <s v="Sea"/>
    <x v="2"/>
    <n v="103.92"/>
  </r>
  <r>
    <x v="2"/>
    <x v="89"/>
    <x v="88"/>
    <x v="27"/>
    <x v="63"/>
    <n v="5924.68"/>
    <x v="2"/>
    <n v="90"/>
    <n v="1"/>
    <n v="27"/>
    <n v="8"/>
    <s v="Carrier B"/>
    <n v="9.93"/>
    <x v="1"/>
    <x v="1"/>
    <n v="23"/>
    <n v="370"/>
    <n v="11"/>
    <n v="46.6"/>
    <s v="Pending"/>
    <n v="1.91"/>
    <s v="Rail"/>
    <x v="0"/>
    <n v="517.5"/>
  </r>
  <r>
    <x v="1"/>
    <x v="90"/>
    <x v="89"/>
    <x v="54"/>
    <x v="20"/>
    <n v="9592.6299999999992"/>
    <x v="0"/>
    <n v="66"/>
    <n v="18"/>
    <n v="96"/>
    <n v="7"/>
    <s v="Carrier B"/>
    <n v="7.67"/>
    <x v="0"/>
    <x v="3"/>
    <n v="8"/>
    <n v="585"/>
    <n v="8"/>
    <n v="85.68"/>
    <s v="Pass"/>
    <n v="1.22"/>
    <s v="Rail"/>
    <x v="0"/>
    <n v="990.08"/>
  </r>
  <r>
    <x v="2"/>
    <x v="91"/>
    <x v="90"/>
    <x v="42"/>
    <x v="87"/>
    <n v="1935.21"/>
    <x v="3"/>
    <n v="98"/>
    <n v="22"/>
    <n v="85"/>
    <n v="7"/>
    <s v="Carrier B"/>
    <n v="7.47"/>
    <x v="3"/>
    <x v="2"/>
    <n v="5"/>
    <n v="207"/>
    <n v="28"/>
    <n v="39.770000000000003"/>
    <s v="Pending"/>
    <n v="0.63"/>
    <s v="Rail"/>
    <x v="0"/>
    <n v="996.78"/>
  </r>
  <r>
    <x v="2"/>
    <x v="92"/>
    <x v="91"/>
    <x v="61"/>
    <x v="88"/>
    <n v="2100.13"/>
    <x v="3"/>
    <n v="90"/>
    <n v="25"/>
    <n v="10"/>
    <n v="8"/>
    <s v="Carrier B"/>
    <n v="4.47"/>
    <x v="4"/>
    <x v="0"/>
    <n v="4"/>
    <n v="671"/>
    <n v="29"/>
    <n v="62.61"/>
    <s v="Pass"/>
    <n v="0.33"/>
    <s v="Rail"/>
    <x v="0"/>
    <n v="230.09"/>
  </r>
  <r>
    <x v="0"/>
    <x v="93"/>
    <x v="92"/>
    <x v="51"/>
    <x v="89"/>
    <n v="4531.3999999999996"/>
    <x v="2"/>
    <n v="63"/>
    <n v="17"/>
    <n v="66"/>
    <n v="1"/>
    <s v="Carrier C"/>
    <n v="7.01"/>
    <x v="3"/>
    <x v="4"/>
    <n v="21"/>
    <n v="824"/>
    <n v="20"/>
    <n v="35.630000000000003"/>
    <s v="Fail"/>
    <n v="4.17"/>
    <s v="Air"/>
    <x v="2"/>
    <n v="823.52"/>
  </r>
  <r>
    <x v="2"/>
    <x v="94"/>
    <x v="93"/>
    <x v="33"/>
    <x v="90"/>
    <n v="7888.36"/>
    <x v="2"/>
    <n v="77"/>
    <n v="26"/>
    <n v="72"/>
    <n v="9"/>
    <s v="Carrier B"/>
    <n v="6.94"/>
    <x v="4"/>
    <x v="2"/>
    <n v="12"/>
    <n v="908"/>
    <n v="14"/>
    <n v="60.39"/>
    <s v="Pass"/>
    <n v="1.46"/>
    <s v="Rail"/>
    <x v="0"/>
    <n v="846.67"/>
  </r>
  <r>
    <x v="0"/>
    <x v="95"/>
    <x v="94"/>
    <x v="43"/>
    <x v="91"/>
    <n v="7386.36"/>
    <x v="2"/>
    <n v="15"/>
    <n v="14"/>
    <n v="26"/>
    <n v="9"/>
    <s v="Carrier B"/>
    <n v="8.6300000000000008"/>
    <x v="3"/>
    <x v="0"/>
    <n v="18"/>
    <n v="450"/>
    <n v="26"/>
    <n v="58.89"/>
    <s v="Pending"/>
    <n v="1.21"/>
    <s v="Air"/>
    <x v="2"/>
    <n v="778.86"/>
  </r>
  <r>
    <x v="2"/>
    <x v="96"/>
    <x v="95"/>
    <x v="48"/>
    <x v="92"/>
    <n v="7698.42"/>
    <x v="0"/>
    <n v="67"/>
    <n v="2"/>
    <n v="32"/>
    <n v="3"/>
    <s v="Carrier C"/>
    <n v="5.35"/>
    <x v="0"/>
    <x v="0"/>
    <n v="28"/>
    <n v="648"/>
    <n v="28"/>
    <n v="17.8"/>
    <s v="Pending"/>
    <n v="3.87"/>
    <s v="Road"/>
    <x v="2"/>
    <n v="188.74"/>
  </r>
  <r>
    <x v="0"/>
    <x v="97"/>
    <x v="96"/>
    <x v="54"/>
    <x v="93"/>
    <n v="4370.92"/>
    <x v="3"/>
    <n v="46"/>
    <n v="19"/>
    <n v="4"/>
    <n v="9"/>
    <s v="Carrier A"/>
    <n v="7.9"/>
    <x v="3"/>
    <x v="0"/>
    <n v="10"/>
    <n v="535"/>
    <n v="13"/>
    <n v="65.77"/>
    <s v="Fail"/>
    <n v="3.38"/>
    <s v="Road"/>
    <x v="2"/>
    <n v="540.13"/>
  </r>
  <r>
    <x v="1"/>
    <x v="98"/>
    <x v="97"/>
    <x v="29"/>
    <x v="94"/>
    <n v="8525.9500000000007"/>
    <x v="1"/>
    <n v="53"/>
    <n v="1"/>
    <n v="27"/>
    <n v="7"/>
    <s v="Carrier B"/>
    <n v="1.41"/>
    <x v="2"/>
    <x v="4"/>
    <n v="28"/>
    <n v="581"/>
    <n v="9"/>
    <n v="5.6"/>
    <s v="Pending"/>
    <n v="2.91"/>
    <s v="Rail"/>
    <x v="2"/>
    <n v="882.2"/>
  </r>
  <r>
    <x v="0"/>
    <x v="99"/>
    <x v="98"/>
    <x v="62"/>
    <x v="95"/>
    <n v="9185.19"/>
    <x v="2"/>
    <n v="55"/>
    <n v="8"/>
    <n v="59"/>
    <n v="6"/>
    <s v="Carrier B"/>
    <n v="1.31"/>
    <x v="4"/>
    <x v="4"/>
    <n v="29"/>
    <n v="921"/>
    <n v="2"/>
    <n v="38.07"/>
    <s v="Fail"/>
    <n v="0.35"/>
    <s v="Rail"/>
    <x v="0"/>
    <n v="210.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69.81"/>
    <x v="0"/>
    <n v="802"/>
    <n v="8662"/>
    <s v="Non-binary"/>
    <n v="58"/>
    <n v="7"/>
    <n v="96"/>
    <n v="4"/>
    <s v="Carrier B"/>
    <n v="2.96"/>
    <s v="Supplier 3"/>
    <x v="0"/>
    <n v="29"/>
    <n v="215"/>
    <n v="29"/>
    <n v="46.28"/>
    <s v="Pending"/>
    <n v="0.23"/>
    <s v="Road"/>
    <s v="Route B"/>
    <n v="187.75"/>
    <n v="16.788779568767008"/>
  </r>
  <r>
    <x v="1"/>
    <x v="1"/>
    <n v="14.84"/>
    <x v="1"/>
    <n v="736"/>
    <n v="7460.9"/>
    <s v="Female"/>
    <n v="53"/>
    <n v="30"/>
    <n v="37"/>
    <n v="2"/>
    <s v="Carrier A"/>
    <n v="9.7200000000000006"/>
    <s v="Supplier 3"/>
    <x v="0"/>
    <n v="23"/>
    <n v="517"/>
    <n v="30"/>
    <n v="33.619999999999997"/>
    <s v="Pending"/>
    <n v="4.8499999999999996"/>
    <s v="Road"/>
    <s v="Route B"/>
    <n v="503.07"/>
    <n v="15.407159305003139"/>
  </r>
  <r>
    <x v="0"/>
    <x v="2"/>
    <n v="11.32"/>
    <x v="2"/>
    <n v="8"/>
    <n v="9577.75"/>
    <s v="Unknown"/>
    <n v="1"/>
    <n v="10"/>
    <n v="88"/>
    <n v="2"/>
    <s v="Carrier B"/>
    <n v="8.0500000000000007"/>
    <s v="Supplier 1"/>
    <x v="0"/>
    <n v="12"/>
    <n v="971"/>
    <n v="27"/>
    <n v="30.69"/>
    <s v="Pending"/>
    <n v="4.58"/>
    <s v="Air"/>
    <s v="Route C"/>
    <n v="141.91999999999999"/>
    <n v="0.16746912288046889"/>
  </r>
  <r>
    <x v="1"/>
    <x v="3"/>
    <n v="61.16"/>
    <x v="3"/>
    <n v="83"/>
    <n v="7766.84"/>
    <s v="Non-binary"/>
    <n v="23"/>
    <n v="13"/>
    <n v="59"/>
    <n v="6"/>
    <s v="Carrier C"/>
    <n v="1.73"/>
    <s v="Supplier 5"/>
    <x v="1"/>
    <n v="24"/>
    <n v="937"/>
    <n v="18"/>
    <n v="35.619999999999997"/>
    <s v="Fail"/>
    <n v="4.75"/>
    <s v="Rail"/>
    <s v="Route A"/>
    <n v="254.78"/>
    <n v="1.7374921498848648"/>
  </r>
  <r>
    <x v="1"/>
    <x v="4"/>
    <n v="4.8099999999999996"/>
    <x v="4"/>
    <n v="871"/>
    <n v="2686.51"/>
    <s v="Non-binary"/>
    <n v="5"/>
    <n v="3"/>
    <n v="56"/>
    <n v="8"/>
    <s v="Carrier A"/>
    <n v="3.89"/>
    <s v="Supplier 1"/>
    <x v="2"/>
    <n v="5"/>
    <n v="414"/>
    <n v="3"/>
    <n v="92.07"/>
    <s v="Fail"/>
    <n v="3.15"/>
    <s v="Air"/>
    <s v="Route A"/>
    <n v="923.44"/>
    <n v="18.233200753611051"/>
  </r>
  <r>
    <x v="0"/>
    <x v="5"/>
    <n v="1.7"/>
    <x v="5"/>
    <n v="147"/>
    <n v="2828.35"/>
    <s v="Non-binary"/>
    <n v="90"/>
    <n v="27"/>
    <n v="66"/>
    <n v="3"/>
    <s v="Carrier B"/>
    <n v="4.4400000000000004"/>
    <s v="Supplier 4"/>
    <x v="3"/>
    <n v="10"/>
    <n v="104"/>
    <n v="17"/>
    <n v="56.77"/>
    <s v="Fail"/>
    <n v="2.78"/>
    <s v="Road"/>
    <s v="Route A"/>
    <n v="235.46"/>
    <n v="3.0772451329286161"/>
  </r>
  <r>
    <x v="1"/>
    <x v="6"/>
    <n v="4.08"/>
    <x v="6"/>
    <n v="65"/>
    <n v="7823.48"/>
    <s v="Male"/>
    <n v="11"/>
    <n v="15"/>
    <n v="58"/>
    <n v="8"/>
    <s v="Carrier C"/>
    <n v="3.88"/>
    <s v="Supplier 3"/>
    <x v="1"/>
    <n v="14"/>
    <n v="314"/>
    <n v="24"/>
    <n v="1.0900000000000001"/>
    <s v="Pending"/>
    <n v="1"/>
    <s v="Sea"/>
    <s v="Route A"/>
    <n v="134.37"/>
    <n v="1.3606866234038097"/>
  </r>
  <r>
    <x v="2"/>
    <x v="7"/>
    <n v="42.96"/>
    <x v="7"/>
    <n v="426"/>
    <n v="8496.1"/>
    <s v="Female"/>
    <n v="93"/>
    <n v="17"/>
    <n v="11"/>
    <n v="1"/>
    <s v="Carrier B"/>
    <n v="2.35"/>
    <s v="Supplier 4"/>
    <x v="3"/>
    <n v="22"/>
    <n v="564"/>
    <n v="1"/>
    <n v="99.47"/>
    <s v="Fail"/>
    <n v="0.4"/>
    <s v="Road"/>
    <s v="Route C"/>
    <n v="802.06"/>
    <n v="8.917730793384969"/>
  </r>
  <r>
    <x v="2"/>
    <x v="8"/>
    <n v="68.72"/>
    <x v="8"/>
    <n v="150"/>
    <n v="7517.36"/>
    <s v="Female"/>
    <n v="5"/>
    <n v="10"/>
    <n v="15"/>
    <n v="7"/>
    <s v="Carrier C"/>
    <n v="3.4"/>
    <s v="Supplier 4"/>
    <x v="0"/>
    <n v="13"/>
    <n v="769"/>
    <n v="8"/>
    <n v="11.42"/>
    <s v="Pending"/>
    <n v="2.71"/>
    <s v="Sea"/>
    <s v="Route B"/>
    <n v="505.56"/>
    <n v="3.140046054008792"/>
  </r>
  <r>
    <x v="1"/>
    <x v="9"/>
    <n v="64.02"/>
    <x v="9"/>
    <n v="980"/>
    <n v="4971.1499999999996"/>
    <s v="Unknown"/>
    <n v="14"/>
    <n v="27"/>
    <n v="83"/>
    <n v="1"/>
    <s v="Carrier A"/>
    <n v="7.17"/>
    <s v="Supplier 2"/>
    <x v="4"/>
    <n v="29"/>
    <n v="963"/>
    <n v="23"/>
    <n v="47.96"/>
    <s v="Pending"/>
    <n v="3.84"/>
    <s v="Rail"/>
    <s v="Route B"/>
    <n v="995.93"/>
    <n v="20.514967552857442"/>
  </r>
  <r>
    <x v="1"/>
    <x v="10"/>
    <n v="15.71"/>
    <x v="10"/>
    <n v="996"/>
    <n v="2330.9699999999998"/>
    <s v="Non-binary"/>
    <n v="51"/>
    <n v="13"/>
    <n v="80"/>
    <n v="2"/>
    <s v="Carrier C"/>
    <n v="8.67"/>
    <s v="Supplier 5"/>
    <x v="1"/>
    <n v="18"/>
    <n v="830"/>
    <n v="5"/>
    <n v="96.53"/>
    <s v="Pass"/>
    <n v="1.73"/>
    <s v="Road"/>
    <s v="Route B"/>
    <n v="806.1"/>
    <n v="20.84990579861838"/>
  </r>
  <r>
    <x v="1"/>
    <x v="11"/>
    <n v="90.64"/>
    <x v="1"/>
    <n v="960"/>
    <n v="6099.94"/>
    <s v="Female"/>
    <n v="46"/>
    <n v="23"/>
    <n v="60"/>
    <n v="1"/>
    <s v="Carrier A"/>
    <n v="4.5199999999999996"/>
    <s v="Supplier 2"/>
    <x v="1"/>
    <n v="28"/>
    <n v="362"/>
    <n v="11"/>
    <n v="27.59"/>
    <s v="Pending"/>
    <n v="0.02"/>
    <s v="Air"/>
    <s v="Route A"/>
    <n v="126.72"/>
    <n v="20.096294745656269"/>
  </r>
  <r>
    <x v="0"/>
    <x v="12"/>
    <n v="71.209999999999994"/>
    <x v="11"/>
    <n v="336"/>
    <n v="2873.74"/>
    <s v="Unknown"/>
    <n v="100"/>
    <n v="30"/>
    <n v="85"/>
    <n v="4"/>
    <s v="Carrier A"/>
    <n v="1.33"/>
    <s v="Supplier 4"/>
    <x v="1"/>
    <n v="3"/>
    <n v="563"/>
    <n v="3"/>
    <n v="32.32"/>
    <s v="Fail"/>
    <n v="2.16"/>
    <s v="Road"/>
    <s v="Route B"/>
    <n v="402.97"/>
    <n v="7.0337031609796936"/>
  </r>
  <r>
    <x v="1"/>
    <x v="13"/>
    <n v="16.16"/>
    <x v="12"/>
    <n v="249"/>
    <n v="4052.74"/>
    <s v="Male"/>
    <n v="80"/>
    <n v="8"/>
    <n v="48"/>
    <n v="9"/>
    <s v="Carrier A"/>
    <n v="9.5399999999999991"/>
    <s v="Supplier 5"/>
    <x v="3"/>
    <n v="23"/>
    <n v="173"/>
    <n v="10"/>
    <n v="97.83"/>
    <s v="Pending"/>
    <n v="1.63"/>
    <s v="Road"/>
    <s v="Route B"/>
    <n v="547.24"/>
    <n v="5.212476449654595"/>
  </r>
  <r>
    <x v="1"/>
    <x v="14"/>
    <n v="99.17"/>
    <x v="4"/>
    <n v="562"/>
    <n v="8653.57"/>
    <s v="Non-binary"/>
    <n v="54"/>
    <n v="29"/>
    <n v="78"/>
    <n v="5"/>
    <s v="Carrier B"/>
    <n v="2.04"/>
    <s v="Supplier 1"/>
    <x v="1"/>
    <n v="25"/>
    <n v="558"/>
    <n v="14"/>
    <n v="5.79"/>
    <s v="Pending"/>
    <n v="0.1"/>
    <s v="Air"/>
    <s v="Route B"/>
    <n v="929.24"/>
    <n v="11.76470588235294"/>
  </r>
  <r>
    <x v="1"/>
    <x v="15"/>
    <n v="36.99"/>
    <x v="13"/>
    <n v="469"/>
    <n v="5442.09"/>
    <s v="Non-binary"/>
    <n v="9"/>
    <n v="8"/>
    <n v="69"/>
    <n v="7"/>
    <s v="Carrier B"/>
    <n v="2.42"/>
    <s v="Supplier 1"/>
    <x v="3"/>
    <n v="14"/>
    <n v="580"/>
    <n v="7"/>
    <n v="97.12"/>
    <s v="Pass"/>
    <n v="2.2599999999999998"/>
    <s v="Sea"/>
    <s v="Route B"/>
    <n v="127.86"/>
    <n v="9.817877328867489"/>
  </r>
  <r>
    <x v="1"/>
    <x v="16"/>
    <n v="7.55"/>
    <x v="14"/>
    <n v="280"/>
    <n v="6453.8"/>
    <s v="Female"/>
    <n v="2"/>
    <n v="5"/>
    <n v="78"/>
    <n v="1"/>
    <s v="Carrier B"/>
    <n v="4.1900000000000004"/>
    <s v="Supplier 1"/>
    <x v="3"/>
    <n v="3"/>
    <n v="399"/>
    <n v="21"/>
    <n v="77.11"/>
    <s v="Pass"/>
    <n v="1.01"/>
    <s v="Air"/>
    <s v="Route A"/>
    <n v="865.53"/>
    <n v="5.8614193008164115"/>
  </r>
  <r>
    <x v="2"/>
    <x v="17"/>
    <n v="81.459999999999994"/>
    <x v="15"/>
    <n v="126"/>
    <n v="2629.4"/>
    <s v="Female"/>
    <n v="45"/>
    <n v="17"/>
    <n v="85"/>
    <n v="9"/>
    <s v="Carrier C"/>
    <n v="3.59"/>
    <s v="Supplier 1"/>
    <x v="4"/>
    <n v="7"/>
    <n v="453"/>
    <n v="16"/>
    <n v="47.68"/>
    <s v="Fail"/>
    <n v="0.1"/>
    <s v="Air"/>
    <s v="Route C"/>
    <n v="670.93"/>
    <n v="2.637638685367385"/>
  </r>
  <r>
    <x v="0"/>
    <x v="18"/>
    <n v="36.44"/>
    <x v="16"/>
    <n v="620"/>
    <n v="9364.67"/>
    <s v="Unknown"/>
    <n v="10"/>
    <n v="10"/>
    <n v="46"/>
    <n v="8"/>
    <s v="Carrier C"/>
    <n v="4.34"/>
    <s v="Supplier 2"/>
    <x v="1"/>
    <n v="18"/>
    <n v="374"/>
    <n v="17"/>
    <n v="27.11"/>
    <s v="Pending"/>
    <n v="2.23"/>
    <s v="Sea"/>
    <s v="Route A"/>
    <n v="593.48"/>
    <n v="12.97885702323634"/>
  </r>
  <r>
    <x v="1"/>
    <x v="19"/>
    <n v="51.12"/>
    <x v="17"/>
    <n v="187"/>
    <n v="2553.5"/>
    <s v="Unknown"/>
    <n v="48"/>
    <n v="11"/>
    <n v="94"/>
    <n v="3"/>
    <s v="Carrier A"/>
    <n v="4.74"/>
    <s v="Supplier 4"/>
    <x v="4"/>
    <n v="20"/>
    <n v="694"/>
    <n v="16"/>
    <n v="82.37"/>
    <s v="Fail"/>
    <n v="3.65"/>
    <s v="Road"/>
    <s v="Route C"/>
    <n v="477.31"/>
    <n v="3.9145907473309607"/>
  </r>
  <r>
    <x v="1"/>
    <x v="20"/>
    <n v="96.34"/>
    <x v="18"/>
    <n v="320"/>
    <n v="8128.03"/>
    <s v="Unknown"/>
    <n v="27"/>
    <n v="12"/>
    <n v="68"/>
    <n v="6"/>
    <s v="Carrier A"/>
    <n v="8.8800000000000008"/>
    <s v="Supplier 1"/>
    <x v="4"/>
    <n v="29"/>
    <n v="309"/>
    <n v="6"/>
    <n v="65.69"/>
    <s v="Pass"/>
    <n v="4.2300000000000004"/>
    <s v="Air"/>
    <s v="Route B"/>
    <n v="493.87"/>
    <n v="6.6987649152187565"/>
  </r>
  <r>
    <x v="2"/>
    <x v="21"/>
    <n v="84.89"/>
    <x v="19"/>
    <n v="601"/>
    <n v="7087.05"/>
    <s v="Unknown"/>
    <n v="69"/>
    <n v="25"/>
    <n v="7"/>
    <n v="6"/>
    <s v="Carrier B"/>
    <n v="6.04"/>
    <s v="Supplier 5"/>
    <x v="4"/>
    <n v="19"/>
    <n v="791"/>
    <n v="4"/>
    <n v="61.74"/>
    <s v="Pending"/>
    <n v="0.02"/>
    <s v="Air"/>
    <s v="Route C"/>
    <n v="523.36"/>
    <n v="12.581117856395226"/>
  </r>
  <r>
    <x v="0"/>
    <x v="22"/>
    <n v="27.68"/>
    <x v="0"/>
    <n v="884"/>
    <n v="2390.81"/>
    <s v="Unknown"/>
    <n v="71"/>
    <n v="1"/>
    <n v="63"/>
    <n v="10"/>
    <s v="Carrier A"/>
    <n v="9.57"/>
    <s v="Supplier 4"/>
    <x v="1"/>
    <n v="22"/>
    <n v="780"/>
    <n v="28"/>
    <n v="50.12"/>
    <s v="Fail"/>
    <n v="2.59"/>
    <s v="Rail"/>
    <s v="Route C"/>
    <n v="205.57"/>
    <n v="18.505338078291814"/>
  </r>
  <r>
    <x v="2"/>
    <x v="23"/>
    <n v="4.32"/>
    <x v="20"/>
    <n v="391"/>
    <n v="8858.3700000000008"/>
    <s v="Unknown"/>
    <n v="84"/>
    <n v="5"/>
    <n v="29"/>
    <n v="7"/>
    <s v="Carrier A"/>
    <n v="2.92"/>
    <s v="Supplier 5"/>
    <x v="1"/>
    <n v="11"/>
    <n v="568"/>
    <n v="29"/>
    <n v="98.61"/>
    <s v="Pending"/>
    <n v="1.34"/>
    <s v="Rail"/>
    <s v="Route A"/>
    <n v="196.33"/>
    <n v="8.185053380782918"/>
  </r>
  <r>
    <x v="0"/>
    <x v="24"/>
    <n v="4.16"/>
    <x v="21"/>
    <n v="209"/>
    <n v="9049.08"/>
    <s v="Male"/>
    <n v="4"/>
    <n v="26"/>
    <n v="2"/>
    <n v="8"/>
    <s v="Carrier C"/>
    <n v="9.74"/>
    <s v="Supplier 2"/>
    <x v="3"/>
    <n v="28"/>
    <n v="447"/>
    <n v="3"/>
    <n v="40.380000000000003"/>
    <s v="Pending"/>
    <n v="3.69"/>
    <s v="Air"/>
    <s v="Route A"/>
    <n v="758.72"/>
    <n v="4.37513083525225"/>
  </r>
  <r>
    <x v="0"/>
    <x v="25"/>
    <n v="39.630000000000003"/>
    <x v="22"/>
    <n v="142"/>
    <n v="2174.7800000000002"/>
    <s v="Male"/>
    <n v="82"/>
    <n v="11"/>
    <n v="52"/>
    <n v="3"/>
    <s v="Carrier C"/>
    <n v="2.23"/>
    <s v="Supplier 4"/>
    <x v="1"/>
    <n v="19"/>
    <n v="934"/>
    <n v="23"/>
    <n v="78.28"/>
    <s v="Pending"/>
    <n v="3.8"/>
    <s v="Road"/>
    <s v="Route B"/>
    <n v="458.54"/>
    <n v="2.972576931128323"/>
  </r>
  <r>
    <x v="0"/>
    <x v="26"/>
    <n v="97.45"/>
    <x v="23"/>
    <n v="353"/>
    <n v="3716.49"/>
    <s v="Male"/>
    <n v="59"/>
    <n v="16"/>
    <n v="48"/>
    <n v="4"/>
    <s v="Carrier B"/>
    <n v="6.51"/>
    <s v="Supplier 2"/>
    <x v="3"/>
    <n v="26"/>
    <n v="171"/>
    <n v="4"/>
    <n v="15.97"/>
    <s v="Pass"/>
    <n v="2.12"/>
    <s v="Rail"/>
    <s v="Route A"/>
    <n v="617.87"/>
    <n v="7.3895750471006902"/>
  </r>
  <r>
    <x v="2"/>
    <x v="27"/>
    <n v="92.56"/>
    <x v="24"/>
    <n v="352"/>
    <n v="2686.46"/>
    <s v="Unknown"/>
    <n v="47"/>
    <n v="9"/>
    <n v="62"/>
    <n v="8"/>
    <s v="Carrier C"/>
    <n v="7.41"/>
    <s v="Supplier 5"/>
    <x v="0"/>
    <n v="25"/>
    <n v="291"/>
    <n v="4"/>
    <n v="10.53"/>
    <s v="Fail"/>
    <n v="2.86"/>
    <s v="Sea"/>
    <s v="Route B"/>
    <n v="762.46"/>
    <n v="7.3686414067406316"/>
  </r>
  <r>
    <x v="2"/>
    <x v="28"/>
    <n v="2.4"/>
    <x v="25"/>
    <n v="394"/>
    <n v="6117.32"/>
    <s v="Female"/>
    <n v="48"/>
    <n v="15"/>
    <n v="24"/>
    <n v="4"/>
    <s v="Carrier B"/>
    <n v="9.9"/>
    <s v="Supplier 1"/>
    <x v="0"/>
    <n v="13"/>
    <n v="171"/>
    <n v="7"/>
    <n v="59.43"/>
    <s v="Fail"/>
    <n v="0.82"/>
    <s v="Air"/>
    <s v="Route A"/>
    <n v="123.44"/>
    <n v="8.247854301863093"/>
  </r>
  <r>
    <x v="2"/>
    <x v="29"/>
    <n v="63.45"/>
    <x v="26"/>
    <n v="253"/>
    <n v="8318.9"/>
    <s v="Female"/>
    <n v="45"/>
    <n v="5"/>
    <n v="67"/>
    <n v="7"/>
    <s v="Carrier B"/>
    <n v="8.1"/>
    <s v="Supplier 1"/>
    <x v="1"/>
    <n v="16"/>
    <n v="329"/>
    <n v="7"/>
    <n v="39.29"/>
    <s v="Pass"/>
    <n v="3.88"/>
    <s v="Road"/>
    <s v="Route B"/>
    <n v="764.94"/>
    <n v="5.2962110110948286"/>
  </r>
  <r>
    <x v="0"/>
    <x v="30"/>
    <n v="8.02"/>
    <x v="27"/>
    <n v="327"/>
    <n v="2766.34"/>
    <s v="Male"/>
    <n v="60"/>
    <n v="26"/>
    <n v="35"/>
    <n v="7"/>
    <s v="Carrier B"/>
    <n v="8.9499999999999993"/>
    <s v="Supplier 4"/>
    <x v="1"/>
    <n v="27"/>
    <n v="806"/>
    <n v="30"/>
    <n v="51.63"/>
    <s v="Pending"/>
    <n v="0.97"/>
    <s v="Road"/>
    <s v="Route C"/>
    <n v="880.08"/>
    <n v="6.845300397739166"/>
  </r>
  <r>
    <x v="1"/>
    <x v="31"/>
    <n v="50.85"/>
    <x v="28"/>
    <n v="168"/>
    <n v="9655.14"/>
    <s v="Male"/>
    <n v="6"/>
    <n v="17"/>
    <n v="44"/>
    <n v="4"/>
    <s v="Carrier B"/>
    <n v="2.68"/>
    <s v="Supplier 3"/>
    <x v="4"/>
    <n v="24"/>
    <n v="461"/>
    <n v="8"/>
    <n v="60.25"/>
    <s v="Pending"/>
    <n v="2.99"/>
    <s v="Rail"/>
    <s v="Route C"/>
    <n v="609.38"/>
    <n v="3.5168515804898468"/>
  </r>
  <r>
    <x v="1"/>
    <x v="32"/>
    <n v="79.209999999999994"/>
    <x v="29"/>
    <n v="781"/>
    <n v="9571.5499999999993"/>
    <s v="Unknown"/>
    <n v="89"/>
    <n v="13"/>
    <n v="64"/>
    <n v="4"/>
    <s v="Carrier C"/>
    <n v="6.6"/>
    <s v="Supplier 3"/>
    <x v="1"/>
    <n v="30"/>
    <n v="737"/>
    <n v="7"/>
    <n v="29.69"/>
    <s v="Pass"/>
    <n v="1.95"/>
    <s v="Road"/>
    <s v="Route A"/>
    <n v="761.17"/>
    <n v="16.349173121205776"/>
  </r>
  <r>
    <x v="2"/>
    <x v="33"/>
    <n v="64.8"/>
    <x v="30"/>
    <n v="616"/>
    <n v="5150"/>
    <s v="Non-binary"/>
    <n v="4"/>
    <n v="17"/>
    <n v="95"/>
    <n v="9"/>
    <s v="Carrier C"/>
    <n v="4.8600000000000003"/>
    <s v="Supplier 5"/>
    <x v="4"/>
    <n v="1"/>
    <n v="251"/>
    <n v="23"/>
    <n v="23.85"/>
    <s v="Fail"/>
    <n v="3.54"/>
    <s v="Sea"/>
    <s v="Route A"/>
    <n v="371.26"/>
    <n v="12.895122461796106"/>
  </r>
  <r>
    <x v="1"/>
    <x v="34"/>
    <n v="37.47"/>
    <x v="31"/>
    <n v="602"/>
    <n v="9061.7099999999991"/>
    <s v="Unknown"/>
    <n v="1"/>
    <n v="26"/>
    <n v="21"/>
    <n v="7"/>
    <s v="Carrier A"/>
    <n v="1.02"/>
    <s v="Supplier 1"/>
    <x v="4"/>
    <n v="4"/>
    <n v="452"/>
    <n v="10"/>
    <n v="10.75"/>
    <s v="Pass"/>
    <n v="0.65"/>
    <s v="Road"/>
    <s v="Route B"/>
    <n v="510.36"/>
    <n v="12.602051496755285"/>
  </r>
  <r>
    <x v="2"/>
    <x v="35"/>
    <n v="84.96"/>
    <x v="10"/>
    <n v="449"/>
    <n v="6541.33"/>
    <s v="Female"/>
    <n v="42"/>
    <n v="27"/>
    <n v="85"/>
    <n v="8"/>
    <s v="Carrier C"/>
    <n v="5.29"/>
    <s v="Supplier 1"/>
    <x v="2"/>
    <n v="3"/>
    <n v="367"/>
    <n v="2"/>
    <n v="58"/>
    <s v="Pass"/>
    <n v="0.54"/>
    <s v="Sea"/>
    <s v="Route C"/>
    <n v="553.41999999999996"/>
    <n v="9.3992045216663165"/>
  </r>
  <r>
    <x v="1"/>
    <x v="36"/>
    <n v="9.81"/>
    <x v="2"/>
    <n v="963"/>
    <n v="7573.4"/>
    <s v="Female"/>
    <n v="18"/>
    <n v="23"/>
    <n v="28"/>
    <n v="3"/>
    <s v="Carrier B"/>
    <n v="2.11"/>
    <s v="Supplier 2"/>
    <x v="2"/>
    <n v="26"/>
    <n v="671"/>
    <n v="19"/>
    <n v="45.53"/>
    <s v="Fail"/>
    <n v="3.81"/>
    <s v="Air"/>
    <s v="Route C"/>
    <n v="403.81"/>
    <n v="20.159095666736444"/>
  </r>
  <r>
    <x v="1"/>
    <x v="37"/>
    <n v="23.4"/>
    <x v="12"/>
    <n v="963"/>
    <n v="2438.34"/>
    <s v="Female"/>
    <n v="25"/>
    <n v="8"/>
    <n v="21"/>
    <n v="9"/>
    <s v="Carrier A"/>
    <n v="1.53"/>
    <s v="Supplier 3"/>
    <x v="1"/>
    <n v="24"/>
    <n v="867"/>
    <n v="15"/>
    <n v="34.340000000000003"/>
    <s v="Pending"/>
    <n v="2.61"/>
    <s v="Sea"/>
    <s v="Route A"/>
    <n v="183.93"/>
    <n v="20.159095666736444"/>
  </r>
  <r>
    <x v="2"/>
    <x v="38"/>
    <n v="52.08"/>
    <x v="32"/>
    <n v="705"/>
    <n v="9692.32"/>
    <s v="Non-binary"/>
    <n v="69"/>
    <n v="1"/>
    <n v="88"/>
    <n v="5"/>
    <s v="Carrier B"/>
    <n v="9.24"/>
    <s v="Supplier 5"/>
    <x v="0"/>
    <n v="10"/>
    <n v="841"/>
    <n v="12"/>
    <n v="5.93"/>
    <s v="Pending"/>
    <n v="0.61"/>
    <s v="Air"/>
    <s v="Route B"/>
    <n v="339.67"/>
    <n v="14.758216453841323"/>
  </r>
  <r>
    <x v="1"/>
    <x v="39"/>
    <n v="19.13"/>
    <x v="4"/>
    <n v="176"/>
    <n v="1912.47"/>
    <s v="Female"/>
    <n v="78"/>
    <n v="29"/>
    <n v="34"/>
    <n v="3"/>
    <s v="Carrier A"/>
    <n v="5.56"/>
    <s v="Supplier 2"/>
    <x v="1"/>
    <n v="30"/>
    <n v="791"/>
    <n v="6"/>
    <n v="9.01"/>
    <s v="Fail"/>
    <n v="1.45"/>
    <s v="Air"/>
    <s v="Route B"/>
    <n v="653.66999999999996"/>
    <n v="3.6843207033703158"/>
  </r>
  <r>
    <x v="1"/>
    <x v="40"/>
    <n v="80.540000000000006"/>
    <x v="33"/>
    <n v="933"/>
    <n v="5724.96"/>
    <s v="Female"/>
    <n v="90"/>
    <n v="20"/>
    <n v="39"/>
    <n v="8"/>
    <s v="Carrier C"/>
    <n v="7.23"/>
    <s v="Supplier 1"/>
    <x v="1"/>
    <n v="18"/>
    <n v="793"/>
    <n v="1"/>
    <n v="88.18"/>
    <s v="Pending"/>
    <n v="4.21"/>
    <s v="Road"/>
    <s v="Route A"/>
    <n v="529.80999999999995"/>
    <n v="19.531086455934688"/>
  </r>
  <r>
    <x v="1"/>
    <x v="41"/>
    <n v="99.11"/>
    <x v="9"/>
    <n v="556"/>
    <n v="5521.21"/>
    <s v="Female"/>
    <n v="64"/>
    <n v="19"/>
    <n v="38"/>
    <n v="8"/>
    <s v="Carrier B"/>
    <n v="5.77"/>
    <s v="Supplier 4"/>
    <x v="4"/>
    <n v="18"/>
    <n v="892"/>
    <n v="7"/>
    <n v="95.33"/>
    <s v="Fail"/>
    <n v="0.05"/>
    <s v="Sea"/>
    <s v="Route A"/>
    <n v="275.52"/>
    <n v="11.639104040192588"/>
  </r>
  <r>
    <x v="1"/>
    <x v="42"/>
    <n v="46.53"/>
    <x v="34"/>
    <n v="155"/>
    <n v="1839.61"/>
    <s v="Female"/>
    <n v="22"/>
    <n v="27"/>
    <n v="57"/>
    <n v="4"/>
    <s v="Carrier C"/>
    <n v="7.53"/>
    <s v="Supplier 5"/>
    <x v="3"/>
    <n v="26"/>
    <n v="179"/>
    <n v="7"/>
    <n v="96.42"/>
    <s v="Fail"/>
    <n v="4.9400000000000004"/>
    <s v="Road"/>
    <s v="Route A"/>
    <n v="635.66"/>
    <n v="3.2447142558090851"/>
  </r>
  <r>
    <x v="0"/>
    <x v="43"/>
    <n v="11.74"/>
    <x v="35"/>
    <n v="598"/>
    <n v="5737.43"/>
    <s v="Unknown"/>
    <n v="36"/>
    <n v="29"/>
    <n v="85"/>
    <n v="9"/>
    <s v="Carrier B"/>
    <n v="3.69"/>
    <s v="Supplier 5"/>
    <x v="0"/>
    <n v="1"/>
    <n v="206"/>
    <n v="23"/>
    <n v="26.28"/>
    <s v="Pending"/>
    <n v="0.37"/>
    <s v="Air"/>
    <s v="Route A"/>
    <n v="716.04"/>
    <n v="12.518316935315051"/>
  </r>
  <r>
    <x v="2"/>
    <x v="44"/>
    <n v="51.36"/>
    <x v="2"/>
    <n v="919"/>
    <n v="7152.29"/>
    <s v="Female"/>
    <n v="13"/>
    <n v="19"/>
    <n v="72"/>
    <n v="6"/>
    <s v="Carrier C"/>
    <n v="7.58"/>
    <s v="Supplier 2"/>
    <x v="2"/>
    <n v="7"/>
    <n v="834"/>
    <n v="18"/>
    <n v="22.55"/>
    <s v="Fail"/>
    <n v="2.96"/>
    <s v="Rail"/>
    <s v="Route A"/>
    <n v="610.45000000000005"/>
    <n v="19.238015490893865"/>
  </r>
  <r>
    <x v="0"/>
    <x v="45"/>
    <n v="33.78"/>
    <x v="36"/>
    <n v="24"/>
    <n v="5267.96"/>
    <s v="Male"/>
    <n v="93"/>
    <n v="7"/>
    <n v="52"/>
    <n v="6"/>
    <s v="Carrier B"/>
    <n v="5.22"/>
    <s v="Supplier 2"/>
    <x v="4"/>
    <n v="25"/>
    <n v="794"/>
    <n v="25"/>
    <n v="66.31"/>
    <s v="Pass"/>
    <n v="3.22"/>
    <s v="Rail"/>
    <s v="Route A"/>
    <n v="495.31"/>
    <n v="0.50240736864140667"/>
  </r>
  <r>
    <x v="0"/>
    <x v="46"/>
    <n v="27.08"/>
    <x v="32"/>
    <n v="859"/>
    <n v="2556.77"/>
    <s v="Non-binary"/>
    <n v="92"/>
    <n v="29"/>
    <n v="6"/>
    <n v="8"/>
    <s v="Carrier B"/>
    <n v="4.07"/>
    <s v="Supplier 3"/>
    <x v="4"/>
    <n v="18"/>
    <n v="870"/>
    <n v="23"/>
    <n v="77.319999999999993"/>
    <s v="Pending"/>
    <n v="3.65"/>
    <s v="Road"/>
    <s v="Route B"/>
    <n v="380.44"/>
    <n v="17.981997069290347"/>
  </r>
  <r>
    <x v="1"/>
    <x v="47"/>
    <n v="95.71"/>
    <x v="37"/>
    <n v="910"/>
    <n v="7089.47"/>
    <s v="Male"/>
    <n v="4"/>
    <n v="15"/>
    <n v="51"/>
    <n v="9"/>
    <s v="Carrier B"/>
    <n v="8.98"/>
    <s v="Supplier 1"/>
    <x v="1"/>
    <n v="10"/>
    <n v="964"/>
    <n v="20"/>
    <n v="19.71"/>
    <s v="Pending"/>
    <n v="0.38"/>
    <s v="Rail"/>
    <s v="Route A"/>
    <n v="581.6"/>
    <n v="19.049612727653336"/>
  </r>
  <r>
    <x v="0"/>
    <x v="48"/>
    <n v="76.040000000000006"/>
    <x v="28"/>
    <n v="29"/>
    <n v="7397.07"/>
    <s v="Non-binary"/>
    <n v="30"/>
    <n v="16"/>
    <n v="9"/>
    <n v="3"/>
    <s v="Carrier C"/>
    <n v="7.1"/>
    <s v="Supplier 2"/>
    <x v="0"/>
    <n v="9"/>
    <n v="109"/>
    <n v="18"/>
    <n v="23.13"/>
    <s v="Fail"/>
    <n v="1.7"/>
    <s v="Rail"/>
    <s v="Route B"/>
    <n v="768.65"/>
    <n v="0.6070755704416998"/>
  </r>
  <r>
    <x v="2"/>
    <x v="49"/>
    <n v="78.900000000000006"/>
    <x v="38"/>
    <n v="99"/>
    <n v="8001.61"/>
    <s v="Unknown"/>
    <n v="97"/>
    <n v="24"/>
    <n v="9"/>
    <n v="6"/>
    <s v="Carrier C"/>
    <n v="2.5099999999999998"/>
    <s v="Supplier 5"/>
    <x v="2"/>
    <n v="28"/>
    <n v="177"/>
    <n v="28"/>
    <n v="14.15"/>
    <s v="Pass"/>
    <n v="2.83"/>
    <s v="Rail"/>
    <s v="Route A"/>
    <n v="336.89"/>
    <n v="2.0724303956458026"/>
  </r>
  <r>
    <x v="2"/>
    <x v="50"/>
    <n v="14.2"/>
    <x v="39"/>
    <n v="633"/>
    <n v="5910.89"/>
    <s v="Female"/>
    <n v="31"/>
    <n v="23"/>
    <n v="82"/>
    <n v="10"/>
    <s v="Carrier A"/>
    <n v="6.25"/>
    <s v="Supplier 2"/>
    <x v="2"/>
    <n v="20"/>
    <n v="306"/>
    <n v="21"/>
    <n v="45.18"/>
    <s v="Fail"/>
    <n v="4.75"/>
    <s v="Rail"/>
    <s v="Route B"/>
    <n v="496.25"/>
    <n v="13.250994347917102"/>
  </r>
  <r>
    <x v="0"/>
    <x v="51"/>
    <n v="26.7"/>
    <x v="40"/>
    <n v="154"/>
    <n v="9866.4699999999993"/>
    <s v="Male"/>
    <n v="100"/>
    <n v="4"/>
    <n v="52"/>
    <n v="1"/>
    <s v="Carrier A"/>
    <n v="4.78"/>
    <s v="Supplier 5"/>
    <x v="3"/>
    <n v="18"/>
    <n v="673"/>
    <n v="28"/>
    <n v="14.19"/>
    <s v="Pending"/>
    <n v="1.77"/>
    <s v="Road"/>
    <s v="Route A"/>
    <n v="694.98"/>
    <n v="3.2237806154490265"/>
  </r>
  <r>
    <x v="1"/>
    <x v="52"/>
    <n v="98.03"/>
    <x v="36"/>
    <n v="820"/>
    <n v="9435.76"/>
    <s v="Male"/>
    <n v="64"/>
    <n v="11"/>
    <n v="11"/>
    <n v="1"/>
    <s v="Carrier B"/>
    <n v="8.6300000000000008"/>
    <s v="Supplier 1"/>
    <x v="0"/>
    <n v="10"/>
    <n v="727"/>
    <n v="27"/>
    <n v="9.17"/>
    <s v="Pending"/>
    <n v="2.12"/>
    <s v="Air"/>
    <s v="Route C"/>
    <n v="602.9"/>
    <n v="17.165585095248062"/>
  </r>
  <r>
    <x v="1"/>
    <x v="53"/>
    <n v="30.34"/>
    <x v="37"/>
    <n v="242"/>
    <n v="8232.33"/>
    <s v="Male"/>
    <n v="96"/>
    <n v="25"/>
    <n v="54"/>
    <n v="3"/>
    <s v="Carrier B"/>
    <n v="1.01"/>
    <s v="Supplier 1"/>
    <x v="2"/>
    <n v="1"/>
    <n v="631"/>
    <n v="17"/>
    <n v="83.34"/>
    <s v="Pending"/>
    <n v="1.41"/>
    <s v="Air"/>
    <s v="Route B"/>
    <n v="750.74"/>
    <n v="5.0659409671341846"/>
  </r>
  <r>
    <x v="0"/>
    <x v="54"/>
    <n v="31.15"/>
    <x v="10"/>
    <n v="622"/>
    <n v="6088.02"/>
    <s v="Non-binary"/>
    <n v="33"/>
    <n v="22"/>
    <n v="61"/>
    <n v="3"/>
    <s v="Carrier B"/>
    <n v="4.3099999999999996"/>
    <s v="Supplier 1"/>
    <x v="1"/>
    <n v="26"/>
    <n v="497"/>
    <n v="29"/>
    <n v="30.19"/>
    <s v="Pass"/>
    <n v="2.48"/>
    <s v="Road"/>
    <s v="Route B"/>
    <n v="814.07"/>
    <n v="13.020724303956458"/>
  </r>
  <r>
    <x v="0"/>
    <x v="55"/>
    <n v="79.86"/>
    <x v="41"/>
    <n v="701"/>
    <n v="2925.68"/>
    <s v="Male"/>
    <n v="97"/>
    <n v="11"/>
    <n v="11"/>
    <n v="5"/>
    <s v="Carrier A"/>
    <n v="5.01"/>
    <s v="Supplier 2"/>
    <x v="2"/>
    <n v="27"/>
    <n v="918"/>
    <n v="5"/>
    <n v="30.32"/>
    <s v="Fail"/>
    <n v="4.55"/>
    <s v="Sea"/>
    <s v="Route B"/>
    <n v="323.01"/>
    <n v="14.674481892401088"/>
  </r>
  <r>
    <x v="1"/>
    <x v="56"/>
    <n v="20.99"/>
    <x v="42"/>
    <n v="93"/>
    <n v="4767.0200000000004"/>
    <s v="Non-binary"/>
    <n v="25"/>
    <n v="23"/>
    <n v="83"/>
    <n v="5"/>
    <s v="Carrier C"/>
    <n v="1.77"/>
    <s v="Supplier 1"/>
    <x v="0"/>
    <n v="24"/>
    <n v="826"/>
    <n v="28"/>
    <n v="12.84"/>
    <s v="Pass"/>
    <n v="1.17"/>
    <s v="Air"/>
    <s v="Route B"/>
    <n v="832.21"/>
    <n v="1.946828553485451"/>
  </r>
  <r>
    <x v="0"/>
    <x v="57"/>
    <n v="49.26"/>
    <x v="43"/>
    <n v="227"/>
    <n v="1605.87"/>
    <s v="Unknown"/>
    <n v="5"/>
    <n v="18"/>
    <n v="51"/>
    <n v="1"/>
    <s v="Carrier B"/>
    <n v="9.16"/>
    <s v="Supplier 2"/>
    <x v="2"/>
    <n v="21"/>
    <n v="588"/>
    <n v="25"/>
    <n v="67.78"/>
    <s v="Pending"/>
    <n v="2.5099999999999998"/>
    <s v="Rail"/>
    <s v="Route A"/>
    <n v="482.19"/>
    <n v="4.7519363617333052"/>
  </r>
  <r>
    <x v="1"/>
    <x v="58"/>
    <n v="59.84"/>
    <x v="44"/>
    <n v="896"/>
    <n v="2021.15"/>
    <s v="Non-binary"/>
    <n v="10"/>
    <n v="5"/>
    <n v="44"/>
    <n v="7"/>
    <s v="Carrier A"/>
    <n v="4.9400000000000004"/>
    <s v="Supplier 3"/>
    <x v="2"/>
    <n v="18"/>
    <n v="396"/>
    <n v="7"/>
    <n v="65.05"/>
    <s v="Fail"/>
    <n v="1.73"/>
    <s v="Road"/>
    <s v="Route B"/>
    <n v="110.36"/>
    <n v="18.756541762612517"/>
  </r>
  <r>
    <x v="2"/>
    <x v="59"/>
    <n v="63.83"/>
    <x v="20"/>
    <n v="484"/>
    <n v="1061.6199999999999"/>
    <s v="Non-binary"/>
    <n v="100"/>
    <n v="16"/>
    <n v="26"/>
    <n v="7"/>
    <s v="Carrier B"/>
    <n v="7.29"/>
    <s v="Supplier 1"/>
    <x v="1"/>
    <n v="11"/>
    <n v="176"/>
    <n v="4"/>
    <n v="1.9"/>
    <s v="Fail"/>
    <n v="0.45"/>
    <s v="Air"/>
    <s v="Route A"/>
    <n v="312.57"/>
    <n v="10.131881934268369"/>
  </r>
  <r>
    <x v="1"/>
    <x v="60"/>
    <n v="17.03"/>
    <x v="41"/>
    <n v="380"/>
    <n v="8864.08"/>
    <s v="Female"/>
    <n v="41"/>
    <n v="27"/>
    <n v="72"/>
    <n v="8"/>
    <s v="Carrier C"/>
    <n v="4.38"/>
    <s v="Supplier 4"/>
    <x v="0"/>
    <n v="29"/>
    <n v="929"/>
    <n v="24"/>
    <n v="87.21"/>
    <s v="Fail"/>
    <n v="2.85"/>
    <s v="Rail"/>
    <s v="Route A"/>
    <n v="430.17"/>
    <n v="7.9547833368222731"/>
  </r>
  <r>
    <x v="0"/>
    <x v="61"/>
    <n v="52.03"/>
    <x v="16"/>
    <n v="117"/>
    <n v="6885.59"/>
    <s v="Unknown"/>
    <n v="32"/>
    <n v="23"/>
    <n v="36"/>
    <n v="7"/>
    <s v="Carrier C"/>
    <n v="9.0299999999999994"/>
    <s v="Supplier 4"/>
    <x v="1"/>
    <n v="14"/>
    <n v="480"/>
    <n v="12"/>
    <n v="78.7"/>
    <s v="Fail"/>
    <n v="4.37"/>
    <s v="Air"/>
    <s v="Route A"/>
    <n v="164.37"/>
    <n v="2.4492359221268578"/>
  </r>
  <r>
    <x v="2"/>
    <x v="62"/>
    <n v="72.8"/>
    <x v="45"/>
    <n v="270"/>
    <n v="3899.75"/>
    <s v="Unknown"/>
    <n v="86"/>
    <n v="2"/>
    <n v="40"/>
    <n v="7"/>
    <s v="Carrier C"/>
    <n v="7.29"/>
    <s v="Supplier 2"/>
    <x v="0"/>
    <n v="13"/>
    <n v="751"/>
    <n v="14"/>
    <n v="21.05"/>
    <s v="Pass"/>
    <n v="1.87"/>
    <s v="Sea"/>
    <s v="Route C"/>
    <n v="320.85000000000002"/>
    <n v="5.6520828972158252"/>
  </r>
  <r>
    <x v="1"/>
    <x v="63"/>
    <n v="13.02"/>
    <x v="0"/>
    <n v="246"/>
    <n v="4256.95"/>
    <s v="Non-binary"/>
    <n v="54"/>
    <n v="19"/>
    <n v="10"/>
    <n v="4"/>
    <s v="Carrier A"/>
    <n v="2.46"/>
    <s v="Supplier 3"/>
    <x v="3"/>
    <n v="18"/>
    <n v="736"/>
    <n v="10"/>
    <n v="20.079999999999998"/>
    <s v="Pending"/>
    <n v="3.63"/>
    <s v="Sea"/>
    <s v="Route A"/>
    <n v="687.29"/>
    <n v="5.1496755285744191"/>
  </r>
  <r>
    <x v="1"/>
    <x v="64"/>
    <n v="89.63"/>
    <x v="10"/>
    <n v="134"/>
    <n v="8458.73"/>
    <s v="Female"/>
    <n v="73"/>
    <n v="27"/>
    <n v="75"/>
    <n v="6"/>
    <s v="Carrier C"/>
    <n v="4.59"/>
    <s v="Supplier 1"/>
    <x v="2"/>
    <n v="17"/>
    <n v="328"/>
    <n v="6"/>
    <n v="8.69"/>
    <s v="Fail"/>
    <n v="0.16"/>
    <s v="Air"/>
    <s v="Route C"/>
    <n v="771.23"/>
    <n v="2.805107808247854"/>
  </r>
  <r>
    <x v="1"/>
    <x v="65"/>
    <n v="33.700000000000003"/>
    <x v="46"/>
    <n v="457"/>
    <n v="8354.58"/>
    <s v="Male"/>
    <n v="57"/>
    <n v="24"/>
    <n v="54"/>
    <n v="8"/>
    <s v="Carrier C"/>
    <n v="6.58"/>
    <s v="Supplier 5"/>
    <x v="1"/>
    <n v="16"/>
    <n v="358"/>
    <n v="21"/>
    <n v="1.6"/>
    <s v="Fail"/>
    <n v="4.91"/>
    <s v="Rail"/>
    <s v="Route C"/>
    <n v="555.86"/>
    <n v="9.5666736445467855"/>
  </r>
  <r>
    <x v="1"/>
    <x v="66"/>
    <n v="26.03"/>
    <x v="47"/>
    <n v="704"/>
    <n v="8367.7199999999993"/>
    <s v="Female"/>
    <n v="13"/>
    <n v="17"/>
    <n v="19"/>
    <n v="8"/>
    <s v="Carrier A"/>
    <n v="2.2200000000000002"/>
    <s v="Supplier 5"/>
    <x v="1"/>
    <n v="24"/>
    <n v="867"/>
    <n v="28"/>
    <n v="42.08"/>
    <s v="Fail"/>
    <n v="3.45"/>
    <s v="Road"/>
    <s v="Route A"/>
    <n v="393.84"/>
    <n v="14.737282813481263"/>
  </r>
  <r>
    <x v="1"/>
    <x v="67"/>
    <n v="87.76"/>
    <x v="41"/>
    <n v="513"/>
    <n v="9473.7999999999993"/>
    <s v="Unknown"/>
    <n v="12"/>
    <n v="9"/>
    <n v="71"/>
    <n v="9"/>
    <s v="Carrier C"/>
    <n v="9.15"/>
    <s v="Supplier 1"/>
    <x v="0"/>
    <n v="10"/>
    <n v="198"/>
    <n v="11"/>
    <n v="7.06"/>
    <s v="Pass"/>
    <n v="0.13"/>
    <s v="Sea"/>
    <s v="Route C"/>
    <n v="169.27"/>
    <n v="10.738957504710068"/>
  </r>
  <r>
    <x v="0"/>
    <x v="68"/>
    <n v="37.93"/>
    <x v="48"/>
    <n v="163"/>
    <n v="3550.22"/>
    <s v="Non-binary"/>
    <n v="0"/>
    <n v="8"/>
    <n v="58"/>
    <n v="8"/>
    <s v="Carrier B"/>
    <n v="1.19"/>
    <s v="Supplier 2"/>
    <x v="3"/>
    <n v="2"/>
    <n v="375"/>
    <n v="18"/>
    <n v="97.11"/>
    <s v="Fail"/>
    <n v="1.98"/>
    <s v="Rail"/>
    <s v="Route A"/>
    <n v="299.70999999999998"/>
    <n v="3.4121833786895537"/>
  </r>
  <r>
    <x v="1"/>
    <x v="69"/>
    <n v="54.87"/>
    <x v="49"/>
    <n v="511"/>
    <n v="1752.38"/>
    <s v="Non-binary"/>
    <n v="95"/>
    <n v="1"/>
    <n v="27"/>
    <n v="3"/>
    <s v="Carrier B"/>
    <n v="9.7100000000000009"/>
    <s v="Supplier 4"/>
    <x v="1"/>
    <n v="9"/>
    <n v="862"/>
    <n v="7"/>
    <n v="77.63"/>
    <s v="Pending"/>
    <n v="1.36"/>
    <s v="Air"/>
    <s v="Route A"/>
    <n v="207.66"/>
    <n v="10.697090223989951"/>
  </r>
  <r>
    <x v="0"/>
    <x v="70"/>
    <n v="47.91"/>
    <x v="42"/>
    <n v="32"/>
    <n v="7014.89"/>
    <s v="Female"/>
    <n v="10"/>
    <n v="12"/>
    <n v="22"/>
    <n v="4"/>
    <s v="Carrier B"/>
    <n v="6.32"/>
    <s v="Supplier 1"/>
    <x v="3"/>
    <n v="22"/>
    <n v="775"/>
    <n v="16"/>
    <n v="11.44"/>
    <s v="Pass"/>
    <n v="1.83"/>
    <s v="Road"/>
    <s v="Route C"/>
    <n v="183.27"/>
    <n v="0.66987649152187556"/>
  </r>
  <r>
    <x v="2"/>
    <x v="71"/>
    <n v="6.38"/>
    <x v="50"/>
    <n v="637"/>
    <n v="8180.34"/>
    <s v="Female"/>
    <n v="76"/>
    <n v="2"/>
    <n v="26"/>
    <n v="6"/>
    <s v="Carrier A"/>
    <n v="9.23"/>
    <s v="Supplier 2"/>
    <x v="3"/>
    <n v="2"/>
    <n v="258"/>
    <n v="10"/>
    <n v="30.66"/>
    <s v="Pending"/>
    <n v="2.08"/>
    <s v="Road"/>
    <s v="Route A"/>
    <n v="405.17"/>
    <n v="13.334728909357336"/>
  </r>
  <r>
    <x v="2"/>
    <x v="72"/>
    <n v="90.2"/>
    <x v="51"/>
    <n v="478"/>
    <n v="2633.12"/>
    <s v="Non-binary"/>
    <n v="57"/>
    <n v="29"/>
    <n v="77"/>
    <n v="9"/>
    <s v="Carrier A"/>
    <n v="6.6"/>
    <s v="Supplier 1"/>
    <x v="3"/>
    <n v="21"/>
    <n v="152"/>
    <n v="11"/>
    <n v="55.76"/>
    <s v="Pending"/>
    <n v="3.21"/>
    <s v="Rail"/>
    <s v="Route B"/>
    <n v="677.94"/>
    <n v="10.006280092108017"/>
  </r>
  <r>
    <x v="2"/>
    <x v="73"/>
    <n v="83.85"/>
    <x v="11"/>
    <n v="375"/>
    <n v="7910.89"/>
    <s v="Male"/>
    <n v="17"/>
    <n v="25"/>
    <n v="66"/>
    <n v="5"/>
    <s v="Carrier B"/>
    <n v="1.51"/>
    <s v="Supplier 4"/>
    <x v="4"/>
    <n v="13"/>
    <n v="444"/>
    <n v="4"/>
    <n v="46.87"/>
    <s v="Fail"/>
    <n v="4.62"/>
    <s v="Road"/>
    <s v="Route A"/>
    <n v="866.47"/>
    <n v="7.85011513502198"/>
  </r>
  <r>
    <x v="0"/>
    <x v="74"/>
    <n v="3.17"/>
    <x v="52"/>
    <n v="904"/>
    <n v="5709.95"/>
    <s v="Female"/>
    <n v="41"/>
    <n v="6"/>
    <n v="1"/>
    <n v="5"/>
    <s v="Carrier A"/>
    <n v="5.24"/>
    <s v="Supplier 4"/>
    <x v="2"/>
    <n v="1"/>
    <n v="919"/>
    <n v="9"/>
    <n v="80.58"/>
    <s v="Fail"/>
    <n v="0.4"/>
    <s v="Rail"/>
    <s v="Route A"/>
    <n v="341.55"/>
    <n v="18.924010885492986"/>
  </r>
  <r>
    <x v="1"/>
    <x v="75"/>
    <n v="93"/>
    <x v="48"/>
    <n v="106"/>
    <n v="1889.07"/>
    <s v="Non-binary"/>
    <n v="16"/>
    <n v="20"/>
    <n v="56"/>
    <n v="10"/>
    <s v="Carrier C"/>
    <n v="2.4700000000000002"/>
    <s v="Supplier 1"/>
    <x v="4"/>
    <n v="25"/>
    <n v="759"/>
    <n v="11"/>
    <n v="48.06"/>
    <s v="Pass"/>
    <n v="2.0299999999999998"/>
    <s v="Air"/>
    <s v="Route C"/>
    <n v="873.13"/>
    <n v="2.2189658781662129"/>
  </r>
  <r>
    <x v="0"/>
    <x v="76"/>
    <n v="69.11"/>
    <x v="16"/>
    <n v="241"/>
    <n v="5328.38"/>
    <s v="Male"/>
    <n v="38"/>
    <n v="1"/>
    <n v="22"/>
    <n v="10"/>
    <s v="Carrier A"/>
    <n v="7.05"/>
    <s v="Supplier 2"/>
    <x v="3"/>
    <n v="25"/>
    <n v="985"/>
    <n v="24"/>
    <n v="64.319999999999993"/>
    <s v="Pending"/>
    <n v="2.1800000000000002"/>
    <s v="Rail"/>
    <s v="Route A"/>
    <n v="997.41"/>
    <n v="5.045007326774126"/>
  </r>
  <r>
    <x v="0"/>
    <x v="77"/>
    <n v="57.45"/>
    <x v="50"/>
    <n v="359"/>
    <n v="2483.7600000000002"/>
    <s v="Unknown"/>
    <n v="96"/>
    <n v="28"/>
    <n v="57"/>
    <n v="4"/>
    <s v="Carrier B"/>
    <n v="6.78"/>
    <s v="Supplier 1"/>
    <x v="1"/>
    <n v="26"/>
    <n v="334"/>
    <n v="5"/>
    <n v="42.95"/>
    <s v="Pass"/>
    <n v="3.06"/>
    <s v="Road"/>
    <s v="Route B"/>
    <n v="852.57"/>
    <n v="7.515176889261042"/>
  </r>
  <r>
    <x v="0"/>
    <x v="78"/>
    <n v="6.31"/>
    <x v="53"/>
    <n v="946"/>
    <n v="1292.46"/>
    <s v="Unknown"/>
    <n v="5"/>
    <n v="4"/>
    <n v="51"/>
    <n v="5"/>
    <s v="Carrier B"/>
    <n v="8.4700000000000006"/>
    <s v="Supplier 5"/>
    <x v="0"/>
    <n v="25"/>
    <n v="858"/>
    <n v="21"/>
    <n v="71.13"/>
    <s v="Pending"/>
    <n v="4.0999999999999996"/>
    <s v="Sea"/>
    <s v="Route C"/>
    <n v="323.58999999999997"/>
    <n v="19.803223780615447"/>
  </r>
  <r>
    <x v="0"/>
    <x v="79"/>
    <n v="57.06"/>
    <x v="54"/>
    <n v="198"/>
    <n v="7888.72"/>
    <s v="Non-binary"/>
    <n v="31"/>
    <n v="25"/>
    <n v="20"/>
    <n v="1"/>
    <s v="Carrier B"/>
    <n v="6.5"/>
    <s v="Supplier 3"/>
    <x v="3"/>
    <n v="5"/>
    <n v="228"/>
    <n v="12"/>
    <n v="57.87"/>
    <s v="Pending"/>
    <n v="0.17"/>
    <s v="Air"/>
    <s v="Route C"/>
    <n v="351.5"/>
    <n v="4.1448607912916051"/>
  </r>
  <r>
    <x v="1"/>
    <x v="80"/>
    <n v="91.13"/>
    <x v="32"/>
    <n v="872"/>
    <n v="8651.67"/>
    <s v="Unknown"/>
    <n v="39"/>
    <n v="14"/>
    <n v="41"/>
    <n v="2"/>
    <s v="Carrier C"/>
    <n v="2.83"/>
    <s v="Supplier 3"/>
    <x v="4"/>
    <n v="8"/>
    <n v="202"/>
    <n v="5"/>
    <n v="76.959999999999994"/>
    <s v="Fail"/>
    <n v="2.85"/>
    <s v="Sea"/>
    <s v="Route B"/>
    <n v="787.78"/>
    <n v="18.25413439397111"/>
  </r>
  <r>
    <x v="0"/>
    <x v="81"/>
    <n v="72.819999999999993"/>
    <x v="23"/>
    <n v="774"/>
    <n v="4384.41"/>
    <s v="Unknown"/>
    <n v="48"/>
    <n v="6"/>
    <n v="8"/>
    <n v="5"/>
    <s v="Carrier B"/>
    <n v="4.07"/>
    <s v="Supplier 3"/>
    <x v="2"/>
    <n v="28"/>
    <n v="698"/>
    <n v="1"/>
    <n v="19.79"/>
    <s v="Pending"/>
    <n v="2.5499999999999998"/>
    <s v="Rail"/>
    <s v="Route B"/>
    <n v="276.77999999999997"/>
    <n v="16.202637638685367"/>
  </r>
  <r>
    <x v="1"/>
    <x v="82"/>
    <n v="17.03"/>
    <x v="55"/>
    <n v="336"/>
    <n v="2943.38"/>
    <s v="Unknown"/>
    <n v="42"/>
    <n v="19"/>
    <n v="72"/>
    <n v="1"/>
    <s v="Carrier A"/>
    <n v="4.71"/>
    <s v="Supplier 2"/>
    <x v="0"/>
    <n v="6"/>
    <n v="955"/>
    <n v="26"/>
    <n v="4.47"/>
    <s v="Pending"/>
    <n v="4.1399999999999997"/>
    <s v="Road"/>
    <s v="Route C"/>
    <n v="589.98"/>
    <n v="7.0337031609796936"/>
  </r>
  <r>
    <x v="0"/>
    <x v="83"/>
    <n v="68.91"/>
    <x v="15"/>
    <n v="663"/>
    <n v="2411.75"/>
    <s v="Unknown"/>
    <n v="65"/>
    <n v="24"/>
    <n v="7"/>
    <n v="8"/>
    <s v="Carrier B"/>
    <n v="4.95"/>
    <s v="Supplier 1"/>
    <x v="3"/>
    <n v="20"/>
    <n v="443"/>
    <n v="5"/>
    <n v="97.73"/>
    <s v="Fail"/>
    <n v="0.77"/>
    <s v="Road"/>
    <s v="Route A"/>
    <n v="682.97"/>
    <n v="13.87900355871886"/>
  </r>
  <r>
    <x v="0"/>
    <x v="84"/>
    <n v="89.1"/>
    <x v="56"/>
    <n v="618"/>
    <n v="2048.29"/>
    <s v="Unknown"/>
    <n v="73"/>
    <n v="26"/>
    <n v="80"/>
    <n v="10"/>
    <s v="Carrier A"/>
    <n v="8.3800000000000008"/>
    <s v="Supplier 5"/>
    <x v="4"/>
    <n v="24"/>
    <n v="589"/>
    <n v="22"/>
    <n v="33.81"/>
    <s v="Pass"/>
    <n v="4.84"/>
    <s v="Air"/>
    <s v="Route B"/>
    <n v="465.46"/>
    <n v="12.936989742516223"/>
  </r>
  <r>
    <x v="2"/>
    <x v="85"/>
    <n v="76.959999999999994"/>
    <x v="57"/>
    <n v="25"/>
    <n v="8684.61"/>
    <s v="Female"/>
    <n v="15"/>
    <n v="18"/>
    <n v="66"/>
    <n v="2"/>
    <s v="Carrier C"/>
    <n v="8.25"/>
    <s v="Supplier 5"/>
    <x v="4"/>
    <n v="4"/>
    <n v="211"/>
    <n v="2"/>
    <n v="69.930000000000007"/>
    <s v="Fail"/>
    <n v="1.37"/>
    <s v="Road"/>
    <s v="Route B"/>
    <n v="842.69"/>
    <n v="0.5233410090014653"/>
  </r>
  <r>
    <x v="1"/>
    <x v="86"/>
    <n v="20"/>
    <x v="58"/>
    <n v="223"/>
    <n v="1229.5899999999999"/>
    <s v="Unknown"/>
    <n v="32"/>
    <n v="14"/>
    <n v="22"/>
    <n v="6"/>
    <s v="Carrier B"/>
    <n v="1.45"/>
    <s v="Supplier 1"/>
    <x v="0"/>
    <n v="4"/>
    <n v="569"/>
    <n v="18"/>
    <n v="74.61"/>
    <s v="Pass"/>
    <n v="2.0499999999999998"/>
    <s v="Rail"/>
    <s v="Route A"/>
    <n v="264.25"/>
    <n v="4.6682018002930707"/>
  </r>
  <r>
    <x v="0"/>
    <x v="87"/>
    <n v="80.41"/>
    <x v="59"/>
    <n v="79"/>
    <n v="5133.8500000000004"/>
    <s v="Male"/>
    <n v="5"/>
    <n v="7"/>
    <n v="55"/>
    <n v="10"/>
    <s v="Carrier A"/>
    <n v="6.58"/>
    <s v="Supplier 3"/>
    <x v="4"/>
    <n v="27"/>
    <n v="523"/>
    <n v="17"/>
    <n v="28.7"/>
    <s v="Fail"/>
    <n v="3.69"/>
    <s v="Sea"/>
    <s v="Route B"/>
    <n v="879.36"/>
    <n v="1.6537575884446305"/>
  </r>
  <r>
    <x v="2"/>
    <x v="88"/>
    <n v="75.27"/>
    <x v="60"/>
    <n v="737"/>
    <n v="9444.74"/>
    <s v="Male"/>
    <n v="60"/>
    <n v="18"/>
    <n v="85"/>
    <n v="7"/>
    <s v="Carrier A"/>
    <n v="3.8"/>
    <s v="Supplier 2"/>
    <x v="0"/>
    <n v="21"/>
    <n v="953"/>
    <n v="11"/>
    <n v="68.180000000000007"/>
    <s v="Pending"/>
    <n v="0.72"/>
    <s v="Sea"/>
    <s v="Route A"/>
    <n v="103.92"/>
    <n v="15.428092945363197"/>
  </r>
  <r>
    <x v="2"/>
    <x v="89"/>
    <n v="97.76"/>
    <x v="27"/>
    <n v="134"/>
    <n v="5924.68"/>
    <s v="Unknown"/>
    <n v="90"/>
    <n v="1"/>
    <n v="27"/>
    <n v="8"/>
    <s v="Carrier B"/>
    <n v="9.93"/>
    <s v="Supplier 1"/>
    <x v="1"/>
    <n v="23"/>
    <n v="370"/>
    <n v="11"/>
    <n v="46.6"/>
    <s v="Pending"/>
    <n v="1.91"/>
    <s v="Rail"/>
    <s v="Route B"/>
    <n v="517.5"/>
    <n v="2.805107808247854"/>
  </r>
  <r>
    <x v="1"/>
    <x v="90"/>
    <n v="13.88"/>
    <x v="54"/>
    <n v="320"/>
    <n v="9592.6299999999992"/>
    <s v="Non-binary"/>
    <n v="66"/>
    <n v="18"/>
    <n v="96"/>
    <n v="7"/>
    <s v="Carrier B"/>
    <n v="7.67"/>
    <s v="Supplier 3"/>
    <x v="3"/>
    <n v="8"/>
    <n v="585"/>
    <n v="8"/>
    <n v="85.68"/>
    <s v="Pass"/>
    <n v="1.22"/>
    <s v="Rail"/>
    <s v="Route B"/>
    <n v="990.08"/>
    <n v="6.6987649152187565"/>
  </r>
  <r>
    <x v="2"/>
    <x v="91"/>
    <n v="62.11"/>
    <x v="42"/>
    <n v="916"/>
    <n v="1935.21"/>
    <s v="Male"/>
    <n v="98"/>
    <n v="22"/>
    <n v="85"/>
    <n v="7"/>
    <s v="Carrier B"/>
    <n v="7.47"/>
    <s v="Supplier 4"/>
    <x v="2"/>
    <n v="5"/>
    <n v="207"/>
    <n v="28"/>
    <n v="39.770000000000003"/>
    <s v="Pending"/>
    <n v="0.63"/>
    <s v="Rail"/>
    <s v="Route B"/>
    <n v="996.78"/>
    <n v="19.17521456981369"/>
  </r>
  <r>
    <x v="2"/>
    <x v="92"/>
    <n v="47.71"/>
    <x v="61"/>
    <n v="276"/>
    <n v="2100.13"/>
    <s v="Male"/>
    <n v="90"/>
    <n v="25"/>
    <n v="10"/>
    <n v="8"/>
    <s v="Carrier B"/>
    <n v="4.47"/>
    <s v="Supplier 2"/>
    <x v="0"/>
    <n v="4"/>
    <n v="671"/>
    <n v="29"/>
    <n v="62.61"/>
    <s v="Pass"/>
    <n v="0.33"/>
    <s v="Rail"/>
    <s v="Route B"/>
    <n v="230.09"/>
    <n v="5.777684739376177"/>
  </r>
  <r>
    <x v="0"/>
    <x v="93"/>
    <n v="69.290000000000006"/>
    <x v="51"/>
    <n v="114"/>
    <n v="4531.3999999999996"/>
    <s v="Unknown"/>
    <n v="63"/>
    <n v="17"/>
    <n v="66"/>
    <n v="1"/>
    <s v="Carrier C"/>
    <n v="7.01"/>
    <s v="Supplier 4"/>
    <x v="4"/>
    <n v="21"/>
    <n v="824"/>
    <n v="20"/>
    <n v="35.630000000000003"/>
    <s v="Fail"/>
    <n v="4.17"/>
    <s v="Air"/>
    <s v="Route A"/>
    <n v="823.52"/>
    <n v="2.3864350010466819"/>
  </r>
  <r>
    <x v="2"/>
    <x v="94"/>
    <n v="3.04"/>
    <x v="33"/>
    <n v="987"/>
    <n v="7888.36"/>
    <s v="Unknown"/>
    <n v="77"/>
    <n v="26"/>
    <n v="72"/>
    <n v="9"/>
    <s v="Carrier B"/>
    <n v="6.94"/>
    <s v="Supplier 2"/>
    <x v="2"/>
    <n v="12"/>
    <n v="908"/>
    <n v="14"/>
    <n v="60.39"/>
    <s v="Pass"/>
    <n v="1.46"/>
    <s v="Rail"/>
    <s v="Route B"/>
    <n v="846.67"/>
    <n v="20.661503035377851"/>
  </r>
  <r>
    <x v="0"/>
    <x v="95"/>
    <n v="77.900000000000006"/>
    <x v="43"/>
    <n v="672"/>
    <n v="7386.36"/>
    <s v="Unknown"/>
    <n v="15"/>
    <n v="14"/>
    <n v="26"/>
    <n v="9"/>
    <s v="Carrier B"/>
    <n v="8.6300000000000008"/>
    <s v="Supplier 4"/>
    <x v="0"/>
    <n v="18"/>
    <n v="450"/>
    <n v="26"/>
    <n v="58.89"/>
    <s v="Pending"/>
    <n v="1.21"/>
    <s v="Air"/>
    <s v="Route A"/>
    <n v="778.86"/>
    <n v="14.067406321959387"/>
  </r>
  <r>
    <x v="2"/>
    <x v="96"/>
    <n v="24.42"/>
    <x v="48"/>
    <n v="324"/>
    <n v="7698.42"/>
    <s v="Non-binary"/>
    <n v="67"/>
    <n v="2"/>
    <n v="32"/>
    <n v="3"/>
    <s v="Carrier C"/>
    <n v="5.35"/>
    <s v="Supplier 3"/>
    <x v="0"/>
    <n v="28"/>
    <n v="648"/>
    <n v="28"/>
    <n v="17.8"/>
    <s v="Pending"/>
    <n v="3.87"/>
    <s v="Road"/>
    <s v="Route A"/>
    <n v="188.74"/>
    <n v="6.7824994766589901"/>
  </r>
  <r>
    <x v="0"/>
    <x v="97"/>
    <n v="3.53"/>
    <x v="54"/>
    <n v="62"/>
    <n v="4370.92"/>
    <s v="Male"/>
    <n v="46"/>
    <n v="19"/>
    <n v="4"/>
    <n v="9"/>
    <s v="Carrier A"/>
    <n v="7.9"/>
    <s v="Supplier 4"/>
    <x v="0"/>
    <n v="10"/>
    <n v="535"/>
    <n v="13"/>
    <n v="65.77"/>
    <s v="Fail"/>
    <n v="3.38"/>
    <s v="Road"/>
    <s v="Route A"/>
    <n v="540.13"/>
    <n v="1.2978857023236341"/>
  </r>
  <r>
    <x v="1"/>
    <x v="98"/>
    <n v="19.75"/>
    <x v="29"/>
    <n v="913"/>
    <n v="8525.9500000000007"/>
    <s v="Female"/>
    <n v="53"/>
    <n v="1"/>
    <n v="27"/>
    <n v="7"/>
    <s v="Carrier B"/>
    <n v="1.41"/>
    <s v="Supplier 5"/>
    <x v="4"/>
    <n v="28"/>
    <n v="581"/>
    <n v="9"/>
    <n v="5.6"/>
    <s v="Pending"/>
    <n v="2.91"/>
    <s v="Rail"/>
    <s v="Route A"/>
    <n v="882.2"/>
    <n v="19.112413648733515"/>
  </r>
  <r>
    <x v="0"/>
    <x v="99"/>
    <n v="68.52"/>
    <x v="62"/>
    <n v="627"/>
    <n v="9185.19"/>
    <s v="Unknown"/>
    <n v="55"/>
    <n v="8"/>
    <n v="59"/>
    <n v="6"/>
    <s v="Carrier B"/>
    <n v="1.31"/>
    <s v="Supplier 2"/>
    <x v="4"/>
    <n v="29"/>
    <n v="921"/>
    <n v="2"/>
    <n v="38.07"/>
    <s v="Fail"/>
    <n v="0.35"/>
    <s v="Rail"/>
    <s v="Route B"/>
    <n v="210.74"/>
    <n v="13.12539250575675"/>
  </r>
  <r>
    <x v="3"/>
    <x v="100"/>
    <m/>
    <x v="63"/>
    <m/>
    <m/>
    <m/>
    <m/>
    <m/>
    <m/>
    <m/>
    <m/>
    <m/>
    <m/>
    <x v="5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x v="0"/>
    <x v="0"/>
    <n v="69.81"/>
    <x v="0"/>
    <n v="802"/>
    <n v="8662"/>
    <x v="0"/>
    <n v="58"/>
    <n v="7"/>
    <n v="96"/>
    <n v="4"/>
    <x v="0"/>
    <n v="2.96"/>
    <x v="0"/>
    <x v="0"/>
    <n v="29"/>
    <n v="215"/>
    <n v="29"/>
    <n v="46.28"/>
    <s v="Pending"/>
    <n v="0.23"/>
    <x v="0"/>
    <s v="Route B"/>
    <n v="187.75"/>
    <n v="16.788779568767008"/>
    <s v="normal"/>
  </r>
  <r>
    <x v="1"/>
    <x v="1"/>
    <n v="14.84"/>
    <x v="1"/>
    <n v="736"/>
    <n v="7460.9"/>
    <x v="1"/>
    <n v="53"/>
    <n v="30"/>
    <n v="37"/>
    <n v="2"/>
    <x v="1"/>
    <n v="9.7200000000000006"/>
    <x v="0"/>
    <x v="0"/>
    <n v="23"/>
    <n v="517"/>
    <n v="30"/>
    <n v="33.619999999999997"/>
    <s v="Pending"/>
    <n v="4.8499999999999996"/>
    <x v="0"/>
    <s v="Route B"/>
    <n v="503.07"/>
    <n v="15.407159305003139"/>
    <s v="normal"/>
  </r>
  <r>
    <x v="0"/>
    <x v="2"/>
    <n v="11.32"/>
    <x v="2"/>
    <n v="8"/>
    <n v="9577.75"/>
    <x v="2"/>
    <n v="1"/>
    <n v="10"/>
    <n v="88"/>
    <n v="2"/>
    <x v="0"/>
    <n v="8.0500000000000007"/>
    <x v="1"/>
    <x v="0"/>
    <n v="12"/>
    <n v="971"/>
    <n v="27"/>
    <n v="30.69"/>
    <s v="Pending"/>
    <n v="4.58"/>
    <x v="1"/>
    <s v="Route C"/>
    <n v="141.91999999999999"/>
    <n v="0.16746912288046889"/>
    <s v="normal"/>
  </r>
  <r>
    <x v="1"/>
    <x v="3"/>
    <n v="61.16"/>
    <x v="3"/>
    <n v="83"/>
    <n v="7766.84"/>
    <x v="0"/>
    <n v="23"/>
    <n v="13"/>
    <n v="59"/>
    <n v="6"/>
    <x v="2"/>
    <n v="1.73"/>
    <x v="2"/>
    <x v="1"/>
    <n v="24"/>
    <n v="937"/>
    <n v="18"/>
    <n v="35.619999999999997"/>
    <s v="Fail"/>
    <n v="4.75"/>
    <x v="2"/>
    <s v="Route A"/>
    <n v="254.78"/>
    <n v="1.7374921498848648"/>
    <s v="normal"/>
  </r>
  <r>
    <x v="1"/>
    <x v="4"/>
    <n v="4.8099999999999996"/>
    <x v="4"/>
    <n v="871"/>
    <n v="2686.51"/>
    <x v="0"/>
    <n v="5"/>
    <n v="3"/>
    <n v="56"/>
    <n v="8"/>
    <x v="1"/>
    <n v="3.89"/>
    <x v="1"/>
    <x v="2"/>
    <n v="5"/>
    <n v="414"/>
    <n v="3"/>
    <n v="92.07"/>
    <s v="Fail"/>
    <n v="3.15"/>
    <x v="1"/>
    <s v="Route A"/>
    <n v="923.44"/>
    <n v="18.233200753611051"/>
    <s v="normal"/>
  </r>
  <r>
    <x v="0"/>
    <x v="5"/>
    <n v="1.7"/>
    <x v="5"/>
    <n v="147"/>
    <n v="2828.35"/>
    <x v="0"/>
    <n v="90"/>
    <n v="27"/>
    <n v="66"/>
    <n v="3"/>
    <x v="0"/>
    <n v="4.4400000000000004"/>
    <x v="3"/>
    <x v="3"/>
    <n v="10"/>
    <n v="104"/>
    <n v="17"/>
    <n v="56.77"/>
    <s v="Fail"/>
    <n v="2.78"/>
    <x v="0"/>
    <s v="Route A"/>
    <n v="235.46"/>
    <n v="3.0772451329286161"/>
    <s v="normal"/>
  </r>
  <r>
    <x v="1"/>
    <x v="6"/>
    <n v="4.08"/>
    <x v="6"/>
    <n v="65"/>
    <n v="7823.48"/>
    <x v="3"/>
    <n v="11"/>
    <n v="15"/>
    <n v="58"/>
    <n v="8"/>
    <x v="2"/>
    <n v="3.88"/>
    <x v="0"/>
    <x v="1"/>
    <n v="14"/>
    <n v="314"/>
    <n v="24"/>
    <n v="1.0900000000000001"/>
    <s v="Pending"/>
    <n v="1"/>
    <x v="3"/>
    <s v="Route A"/>
    <n v="134.37"/>
    <n v="1.3606866234038097"/>
    <s v="normal"/>
  </r>
  <r>
    <x v="2"/>
    <x v="7"/>
    <n v="42.96"/>
    <x v="7"/>
    <n v="426"/>
    <n v="8496.1"/>
    <x v="1"/>
    <n v="93"/>
    <n v="17"/>
    <n v="11"/>
    <n v="1"/>
    <x v="0"/>
    <n v="2.35"/>
    <x v="3"/>
    <x v="3"/>
    <n v="22"/>
    <n v="564"/>
    <n v="1"/>
    <n v="99.47"/>
    <s v="Fail"/>
    <n v="0.4"/>
    <x v="0"/>
    <s v="Route C"/>
    <n v="802.06"/>
    <n v="8.917730793384969"/>
    <s v="normal"/>
  </r>
  <r>
    <x v="2"/>
    <x v="8"/>
    <n v="68.72"/>
    <x v="8"/>
    <n v="150"/>
    <n v="7517.36"/>
    <x v="1"/>
    <n v="5"/>
    <n v="10"/>
    <n v="15"/>
    <n v="7"/>
    <x v="2"/>
    <n v="3.4"/>
    <x v="3"/>
    <x v="0"/>
    <n v="13"/>
    <n v="769"/>
    <n v="8"/>
    <n v="11.42"/>
    <s v="Pending"/>
    <n v="2.71"/>
    <x v="3"/>
    <s v="Route B"/>
    <n v="505.56"/>
    <n v="3.140046054008792"/>
    <s v="normal"/>
  </r>
  <r>
    <x v="1"/>
    <x v="9"/>
    <n v="64.02"/>
    <x v="9"/>
    <n v="980"/>
    <n v="4971.1499999999996"/>
    <x v="2"/>
    <n v="14"/>
    <n v="27"/>
    <n v="83"/>
    <n v="1"/>
    <x v="1"/>
    <n v="7.17"/>
    <x v="4"/>
    <x v="4"/>
    <n v="29"/>
    <n v="963"/>
    <n v="23"/>
    <n v="47.96"/>
    <s v="Pending"/>
    <n v="3.84"/>
    <x v="2"/>
    <s v="Route B"/>
    <n v="995.93"/>
    <n v="20.514967552857442"/>
    <s v="normal"/>
  </r>
  <r>
    <x v="1"/>
    <x v="10"/>
    <n v="15.71"/>
    <x v="10"/>
    <n v="996"/>
    <n v="2330.9699999999998"/>
    <x v="0"/>
    <n v="51"/>
    <n v="13"/>
    <n v="80"/>
    <n v="2"/>
    <x v="2"/>
    <n v="8.67"/>
    <x v="2"/>
    <x v="1"/>
    <n v="18"/>
    <n v="830"/>
    <n v="5"/>
    <n v="96.53"/>
    <s v="Pass"/>
    <n v="1.73"/>
    <x v="0"/>
    <s v="Route B"/>
    <n v="806.1"/>
    <n v="20.84990579861838"/>
    <s v="normal"/>
  </r>
  <r>
    <x v="1"/>
    <x v="11"/>
    <n v="90.64"/>
    <x v="1"/>
    <n v="960"/>
    <n v="6099.94"/>
    <x v="1"/>
    <n v="46"/>
    <n v="23"/>
    <n v="60"/>
    <n v="1"/>
    <x v="1"/>
    <n v="4.5199999999999996"/>
    <x v="4"/>
    <x v="1"/>
    <n v="28"/>
    <n v="362"/>
    <n v="11"/>
    <n v="27.59"/>
    <s v="Pending"/>
    <n v="0.02"/>
    <x v="1"/>
    <s v="Route A"/>
    <n v="126.72"/>
    <n v="20.096294745656269"/>
    <s v="normal"/>
  </r>
  <r>
    <x v="0"/>
    <x v="12"/>
    <n v="71.209999999999994"/>
    <x v="11"/>
    <n v="336"/>
    <n v="2873.74"/>
    <x v="2"/>
    <n v="100"/>
    <n v="30"/>
    <n v="85"/>
    <n v="4"/>
    <x v="1"/>
    <n v="1.33"/>
    <x v="3"/>
    <x v="1"/>
    <n v="3"/>
    <n v="563"/>
    <n v="3"/>
    <n v="32.32"/>
    <s v="Fail"/>
    <n v="2.16"/>
    <x v="0"/>
    <s v="Route B"/>
    <n v="402.97"/>
    <n v="7.0337031609796936"/>
    <s v="normal"/>
  </r>
  <r>
    <x v="1"/>
    <x v="13"/>
    <n v="16.16"/>
    <x v="12"/>
    <n v="249"/>
    <n v="4052.74"/>
    <x v="3"/>
    <n v="80"/>
    <n v="8"/>
    <n v="48"/>
    <n v="9"/>
    <x v="1"/>
    <n v="9.5399999999999991"/>
    <x v="2"/>
    <x v="3"/>
    <n v="23"/>
    <n v="173"/>
    <n v="10"/>
    <n v="97.83"/>
    <s v="Pending"/>
    <n v="1.63"/>
    <x v="0"/>
    <s v="Route B"/>
    <n v="547.24"/>
    <n v="5.212476449654595"/>
    <s v="normal"/>
  </r>
  <r>
    <x v="1"/>
    <x v="14"/>
    <n v="99.17"/>
    <x v="4"/>
    <n v="562"/>
    <n v="8653.57"/>
    <x v="0"/>
    <n v="54"/>
    <n v="29"/>
    <n v="78"/>
    <n v="5"/>
    <x v="0"/>
    <n v="2.04"/>
    <x v="1"/>
    <x v="1"/>
    <n v="25"/>
    <n v="558"/>
    <n v="14"/>
    <n v="5.79"/>
    <s v="Pending"/>
    <n v="0.1"/>
    <x v="1"/>
    <s v="Route B"/>
    <n v="929.24"/>
    <n v="11.76470588235294"/>
    <s v="normal"/>
  </r>
  <r>
    <x v="1"/>
    <x v="15"/>
    <n v="36.99"/>
    <x v="13"/>
    <n v="469"/>
    <n v="5442.09"/>
    <x v="0"/>
    <n v="9"/>
    <n v="8"/>
    <n v="69"/>
    <n v="7"/>
    <x v="0"/>
    <n v="2.42"/>
    <x v="1"/>
    <x v="3"/>
    <n v="14"/>
    <n v="580"/>
    <n v="7"/>
    <n v="97.12"/>
    <s v="Pass"/>
    <n v="2.2599999999999998"/>
    <x v="3"/>
    <s v="Route B"/>
    <n v="127.86"/>
    <n v="9.817877328867489"/>
    <s v="normal"/>
  </r>
  <r>
    <x v="1"/>
    <x v="16"/>
    <n v="7.55"/>
    <x v="14"/>
    <n v="280"/>
    <n v="6453.8"/>
    <x v="1"/>
    <n v="2"/>
    <n v="5"/>
    <n v="78"/>
    <n v="1"/>
    <x v="0"/>
    <n v="4.1900000000000004"/>
    <x v="1"/>
    <x v="3"/>
    <n v="3"/>
    <n v="399"/>
    <n v="21"/>
    <n v="77.11"/>
    <s v="Pass"/>
    <n v="1.01"/>
    <x v="1"/>
    <s v="Route A"/>
    <n v="865.53"/>
    <n v="5.8614193008164115"/>
    <s v="normal"/>
  </r>
  <r>
    <x v="2"/>
    <x v="17"/>
    <n v="81.459999999999994"/>
    <x v="15"/>
    <n v="126"/>
    <n v="2629.4"/>
    <x v="1"/>
    <n v="45"/>
    <n v="17"/>
    <n v="85"/>
    <n v="9"/>
    <x v="2"/>
    <n v="3.59"/>
    <x v="1"/>
    <x v="4"/>
    <n v="7"/>
    <n v="453"/>
    <n v="16"/>
    <n v="47.68"/>
    <s v="Fail"/>
    <n v="0.1"/>
    <x v="1"/>
    <s v="Route C"/>
    <n v="670.93"/>
    <n v="2.637638685367385"/>
    <s v="normal"/>
  </r>
  <r>
    <x v="0"/>
    <x v="18"/>
    <n v="36.44"/>
    <x v="16"/>
    <n v="620"/>
    <n v="9364.67"/>
    <x v="2"/>
    <n v="10"/>
    <n v="10"/>
    <n v="46"/>
    <n v="8"/>
    <x v="2"/>
    <n v="4.34"/>
    <x v="4"/>
    <x v="1"/>
    <n v="18"/>
    <n v="374"/>
    <n v="17"/>
    <n v="27.11"/>
    <s v="Pending"/>
    <n v="2.23"/>
    <x v="3"/>
    <s v="Route A"/>
    <n v="593.48"/>
    <n v="12.97885702323634"/>
    <s v="normal"/>
  </r>
  <r>
    <x v="1"/>
    <x v="19"/>
    <n v="51.12"/>
    <x v="17"/>
    <n v="187"/>
    <n v="2553.5"/>
    <x v="2"/>
    <n v="48"/>
    <n v="11"/>
    <n v="94"/>
    <n v="3"/>
    <x v="1"/>
    <n v="4.74"/>
    <x v="3"/>
    <x v="4"/>
    <n v="20"/>
    <n v="694"/>
    <n v="16"/>
    <n v="82.37"/>
    <s v="Fail"/>
    <n v="3.65"/>
    <x v="0"/>
    <s v="Route C"/>
    <n v="477.31"/>
    <n v="3.9145907473309607"/>
    <s v="normal"/>
  </r>
  <r>
    <x v="1"/>
    <x v="20"/>
    <n v="96.34"/>
    <x v="18"/>
    <n v="320"/>
    <n v="8128.03"/>
    <x v="2"/>
    <n v="27"/>
    <n v="12"/>
    <n v="68"/>
    <n v="6"/>
    <x v="1"/>
    <n v="8.8800000000000008"/>
    <x v="1"/>
    <x v="4"/>
    <n v="29"/>
    <n v="309"/>
    <n v="6"/>
    <n v="65.69"/>
    <s v="Pass"/>
    <n v="4.2300000000000004"/>
    <x v="1"/>
    <s v="Route B"/>
    <n v="493.87"/>
    <n v="6.6987649152187565"/>
    <s v="normal"/>
  </r>
  <r>
    <x v="2"/>
    <x v="21"/>
    <n v="84.89"/>
    <x v="19"/>
    <n v="601"/>
    <n v="7087.05"/>
    <x v="2"/>
    <n v="69"/>
    <n v="25"/>
    <n v="7"/>
    <n v="6"/>
    <x v="0"/>
    <n v="6.04"/>
    <x v="2"/>
    <x v="4"/>
    <n v="19"/>
    <n v="791"/>
    <n v="4"/>
    <n v="61.74"/>
    <s v="Pending"/>
    <n v="0.02"/>
    <x v="1"/>
    <s v="Route C"/>
    <n v="523.36"/>
    <n v="12.581117856395226"/>
    <s v="normal"/>
  </r>
  <r>
    <x v="0"/>
    <x v="22"/>
    <n v="27.68"/>
    <x v="0"/>
    <n v="884"/>
    <n v="2390.81"/>
    <x v="2"/>
    <n v="71"/>
    <n v="1"/>
    <n v="63"/>
    <n v="10"/>
    <x v="1"/>
    <n v="9.57"/>
    <x v="3"/>
    <x v="1"/>
    <n v="22"/>
    <n v="780"/>
    <n v="28"/>
    <n v="50.12"/>
    <s v="Fail"/>
    <n v="2.59"/>
    <x v="2"/>
    <s v="Route C"/>
    <n v="205.57"/>
    <n v="18.505338078291814"/>
    <s v="normal"/>
  </r>
  <r>
    <x v="2"/>
    <x v="23"/>
    <n v="4.32"/>
    <x v="20"/>
    <n v="391"/>
    <n v="8858.3700000000008"/>
    <x v="2"/>
    <n v="84"/>
    <n v="5"/>
    <n v="29"/>
    <n v="7"/>
    <x v="1"/>
    <n v="2.92"/>
    <x v="2"/>
    <x v="1"/>
    <n v="11"/>
    <n v="568"/>
    <n v="29"/>
    <n v="98.61"/>
    <s v="Pending"/>
    <n v="1.34"/>
    <x v="2"/>
    <s v="Route A"/>
    <n v="196.33"/>
    <n v="8.185053380782918"/>
    <s v="normal"/>
  </r>
  <r>
    <x v="0"/>
    <x v="24"/>
    <n v="4.16"/>
    <x v="21"/>
    <n v="209"/>
    <n v="9049.08"/>
    <x v="3"/>
    <n v="4"/>
    <n v="26"/>
    <n v="2"/>
    <n v="8"/>
    <x v="2"/>
    <n v="9.74"/>
    <x v="4"/>
    <x v="3"/>
    <n v="28"/>
    <n v="447"/>
    <n v="3"/>
    <n v="40.380000000000003"/>
    <s v="Pending"/>
    <n v="3.69"/>
    <x v="1"/>
    <s v="Route A"/>
    <n v="758.72"/>
    <n v="4.37513083525225"/>
    <s v="normal"/>
  </r>
  <r>
    <x v="0"/>
    <x v="25"/>
    <n v="39.630000000000003"/>
    <x v="22"/>
    <n v="142"/>
    <n v="2174.7800000000002"/>
    <x v="3"/>
    <n v="82"/>
    <n v="11"/>
    <n v="52"/>
    <n v="3"/>
    <x v="2"/>
    <n v="2.23"/>
    <x v="3"/>
    <x v="1"/>
    <n v="19"/>
    <n v="934"/>
    <n v="23"/>
    <n v="78.28"/>
    <s v="Pending"/>
    <n v="3.8"/>
    <x v="0"/>
    <s v="Route B"/>
    <n v="458.54"/>
    <n v="2.972576931128323"/>
    <s v="normal"/>
  </r>
  <r>
    <x v="0"/>
    <x v="26"/>
    <n v="97.45"/>
    <x v="23"/>
    <n v="353"/>
    <n v="3716.49"/>
    <x v="3"/>
    <n v="59"/>
    <n v="16"/>
    <n v="48"/>
    <n v="4"/>
    <x v="0"/>
    <n v="6.51"/>
    <x v="4"/>
    <x v="3"/>
    <n v="26"/>
    <n v="171"/>
    <n v="4"/>
    <n v="15.97"/>
    <s v="Pass"/>
    <n v="2.12"/>
    <x v="2"/>
    <s v="Route A"/>
    <n v="617.87"/>
    <n v="7.3895750471006902"/>
    <s v="normal"/>
  </r>
  <r>
    <x v="2"/>
    <x v="27"/>
    <n v="92.56"/>
    <x v="24"/>
    <n v="352"/>
    <n v="2686.46"/>
    <x v="2"/>
    <n v="47"/>
    <n v="9"/>
    <n v="62"/>
    <n v="8"/>
    <x v="2"/>
    <n v="7.41"/>
    <x v="2"/>
    <x v="0"/>
    <n v="25"/>
    <n v="291"/>
    <n v="4"/>
    <n v="10.53"/>
    <s v="Fail"/>
    <n v="2.86"/>
    <x v="3"/>
    <s v="Route B"/>
    <n v="762.46"/>
    <n v="7.3686414067406316"/>
    <s v="normal"/>
  </r>
  <r>
    <x v="2"/>
    <x v="28"/>
    <n v="2.4"/>
    <x v="25"/>
    <n v="394"/>
    <n v="6117.32"/>
    <x v="1"/>
    <n v="48"/>
    <n v="15"/>
    <n v="24"/>
    <n v="4"/>
    <x v="0"/>
    <n v="9.9"/>
    <x v="1"/>
    <x v="0"/>
    <n v="13"/>
    <n v="171"/>
    <n v="7"/>
    <n v="59.43"/>
    <s v="Fail"/>
    <n v="0.82"/>
    <x v="1"/>
    <s v="Route A"/>
    <n v="123.44"/>
    <n v="8.247854301863093"/>
    <s v="normal"/>
  </r>
  <r>
    <x v="2"/>
    <x v="29"/>
    <n v="63.45"/>
    <x v="26"/>
    <n v="253"/>
    <n v="8318.9"/>
    <x v="1"/>
    <n v="45"/>
    <n v="5"/>
    <n v="67"/>
    <n v="7"/>
    <x v="0"/>
    <n v="8.1"/>
    <x v="1"/>
    <x v="1"/>
    <n v="16"/>
    <n v="329"/>
    <n v="7"/>
    <n v="39.29"/>
    <s v="Pass"/>
    <n v="3.88"/>
    <x v="0"/>
    <s v="Route B"/>
    <n v="764.94"/>
    <n v="5.2962110110948286"/>
    <s v="normal"/>
  </r>
  <r>
    <x v="0"/>
    <x v="30"/>
    <n v="8.02"/>
    <x v="27"/>
    <n v="327"/>
    <n v="2766.34"/>
    <x v="3"/>
    <n v="60"/>
    <n v="26"/>
    <n v="35"/>
    <n v="7"/>
    <x v="0"/>
    <n v="8.9499999999999993"/>
    <x v="3"/>
    <x v="1"/>
    <n v="27"/>
    <n v="806"/>
    <n v="30"/>
    <n v="51.63"/>
    <s v="Pending"/>
    <n v="0.97"/>
    <x v="0"/>
    <s v="Route C"/>
    <n v="880.08"/>
    <n v="6.845300397739166"/>
    <s v="normal"/>
  </r>
  <r>
    <x v="1"/>
    <x v="31"/>
    <n v="50.85"/>
    <x v="28"/>
    <n v="168"/>
    <n v="9655.14"/>
    <x v="3"/>
    <n v="6"/>
    <n v="17"/>
    <n v="44"/>
    <n v="4"/>
    <x v="0"/>
    <n v="2.68"/>
    <x v="0"/>
    <x v="4"/>
    <n v="24"/>
    <n v="461"/>
    <n v="8"/>
    <n v="60.25"/>
    <s v="Pending"/>
    <n v="2.99"/>
    <x v="2"/>
    <s v="Route C"/>
    <n v="609.38"/>
    <n v="3.5168515804898468"/>
    <s v="normal"/>
  </r>
  <r>
    <x v="1"/>
    <x v="32"/>
    <n v="79.209999999999994"/>
    <x v="29"/>
    <n v="781"/>
    <n v="9571.5499999999993"/>
    <x v="2"/>
    <n v="89"/>
    <n v="13"/>
    <n v="64"/>
    <n v="4"/>
    <x v="2"/>
    <n v="6.6"/>
    <x v="0"/>
    <x v="1"/>
    <n v="30"/>
    <n v="737"/>
    <n v="7"/>
    <n v="29.69"/>
    <s v="Pass"/>
    <n v="1.95"/>
    <x v="0"/>
    <s v="Route A"/>
    <n v="761.17"/>
    <n v="16.349173121205776"/>
    <s v="normal"/>
  </r>
  <r>
    <x v="2"/>
    <x v="33"/>
    <n v="64.8"/>
    <x v="30"/>
    <n v="616"/>
    <n v="5150"/>
    <x v="0"/>
    <n v="4"/>
    <n v="17"/>
    <n v="95"/>
    <n v="9"/>
    <x v="2"/>
    <n v="4.8600000000000003"/>
    <x v="2"/>
    <x v="4"/>
    <n v="1"/>
    <n v="251"/>
    <n v="23"/>
    <n v="23.85"/>
    <s v="Fail"/>
    <n v="3.54"/>
    <x v="3"/>
    <s v="Route A"/>
    <n v="371.26"/>
    <n v="12.895122461796106"/>
    <s v="normal"/>
  </r>
  <r>
    <x v="1"/>
    <x v="34"/>
    <n v="37.47"/>
    <x v="31"/>
    <n v="602"/>
    <n v="9061.7099999999991"/>
    <x v="2"/>
    <n v="1"/>
    <n v="26"/>
    <n v="21"/>
    <n v="7"/>
    <x v="1"/>
    <n v="1.02"/>
    <x v="1"/>
    <x v="4"/>
    <n v="4"/>
    <n v="452"/>
    <n v="10"/>
    <n v="10.75"/>
    <s v="Pass"/>
    <n v="0.65"/>
    <x v="0"/>
    <s v="Route B"/>
    <n v="510.36"/>
    <n v="12.602051496755285"/>
    <s v="normal"/>
  </r>
  <r>
    <x v="2"/>
    <x v="35"/>
    <n v="84.96"/>
    <x v="10"/>
    <n v="449"/>
    <n v="6541.33"/>
    <x v="1"/>
    <n v="42"/>
    <n v="27"/>
    <n v="85"/>
    <n v="8"/>
    <x v="2"/>
    <n v="5.29"/>
    <x v="1"/>
    <x v="2"/>
    <n v="3"/>
    <n v="367"/>
    <n v="2"/>
    <n v="58"/>
    <s v="Pass"/>
    <n v="0.54"/>
    <x v="3"/>
    <s v="Route C"/>
    <n v="553.41999999999996"/>
    <n v="9.3992045216663165"/>
    <s v="normal"/>
  </r>
  <r>
    <x v="1"/>
    <x v="36"/>
    <n v="9.81"/>
    <x v="2"/>
    <n v="963"/>
    <n v="7573.4"/>
    <x v="1"/>
    <n v="18"/>
    <n v="23"/>
    <n v="28"/>
    <n v="3"/>
    <x v="0"/>
    <n v="2.11"/>
    <x v="4"/>
    <x v="2"/>
    <n v="26"/>
    <n v="671"/>
    <n v="19"/>
    <n v="45.53"/>
    <s v="Fail"/>
    <n v="3.81"/>
    <x v="1"/>
    <s v="Route C"/>
    <n v="403.81"/>
    <n v="20.159095666736444"/>
    <s v="normal"/>
  </r>
  <r>
    <x v="1"/>
    <x v="37"/>
    <n v="23.4"/>
    <x v="12"/>
    <n v="963"/>
    <n v="2438.34"/>
    <x v="1"/>
    <n v="25"/>
    <n v="8"/>
    <n v="21"/>
    <n v="9"/>
    <x v="1"/>
    <n v="1.53"/>
    <x v="0"/>
    <x v="1"/>
    <n v="24"/>
    <n v="867"/>
    <n v="15"/>
    <n v="34.340000000000003"/>
    <s v="Pending"/>
    <n v="2.61"/>
    <x v="3"/>
    <s v="Route A"/>
    <n v="183.93"/>
    <n v="20.159095666736444"/>
    <s v="normal"/>
  </r>
  <r>
    <x v="2"/>
    <x v="38"/>
    <n v="52.08"/>
    <x v="32"/>
    <n v="705"/>
    <n v="9692.32"/>
    <x v="0"/>
    <n v="69"/>
    <n v="1"/>
    <n v="88"/>
    <n v="5"/>
    <x v="0"/>
    <n v="9.24"/>
    <x v="2"/>
    <x v="0"/>
    <n v="10"/>
    <n v="841"/>
    <n v="12"/>
    <n v="5.93"/>
    <s v="Pending"/>
    <n v="0.61"/>
    <x v="1"/>
    <s v="Route B"/>
    <n v="339.67"/>
    <n v="14.758216453841323"/>
    <s v="normal"/>
  </r>
  <r>
    <x v="1"/>
    <x v="39"/>
    <n v="19.13"/>
    <x v="4"/>
    <n v="176"/>
    <n v="1912.47"/>
    <x v="1"/>
    <n v="78"/>
    <n v="29"/>
    <n v="34"/>
    <n v="3"/>
    <x v="1"/>
    <n v="5.56"/>
    <x v="4"/>
    <x v="1"/>
    <n v="30"/>
    <n v="791"/>
    <n v="6"/>
    <n v="9.01"/>
    <s v="Fail"/>
    <n v="1.45"/>
    <x v="1"/>
    <s v="Route B"/>
    <n v="653.66999999999996"/>
    <n v="3.6843207033703158"/>
    <s v="normal"/>
  </r>
  <r>
    <x v="1"/>
    <x v="40"/>
    <n v="80.540000000000006"/>
    <x v="33"/>
    <n v="933"/>
    <n v="5724.96"/>
    <x v="1"/>
    <n v="90"/>
    <n v="20"/>
    <n v="39"/>
    <n v="8"/>
    <x v="2"/>
    <n v="7.23"/>
    <x v="1"/>
    <x v="1"/>
    <n v="18"/>
    <n v="793"/>
    <n v="1"/>
    <n v="88.18"/>
    <s v="Pending"/>
    <n v="4.21"/>
    <x v="0"/>
    <s v="Route A"/>
    <n v="529.80999999999995"/>
    <n v="19.531086455934688"/>
    <s v="normal"/>
  </r>
  <r>
    <x v="1"/>
    <x v="41"/>
    <n v="99.11"/>
    <x v="9"/>
    <n v="556"/>
    <n v="5521.21"/>
    <x v="1"/>
    <n v="64"/>
    <n v="19"/>
    <n v="38"/>
    <n v="8"/>
    <x v="0"/>
    <n v="5.77"/>
    <x v="3"/>
    <x v="4"/>
    <n v="18"/>
    <n v="892"/>
    <n v="7"/>
    <n v="95.33"/>
    <s v="Fail"/>
    <n v="0.05"/>
    <x v="3"/>
    <s v="Route A"/>
    <n v="275.52"/>
    <n v="11.639104040192588"/>
    <s v="normal"/>
  </r>
  <r>
    <x v="1"/>
    <x v="42"/>
    <n v="46.53"/>
    <x v="34"/>
    <n v="155"/>
    <n v="1839.61"/>
    <x v="1"/>
    <n v="22"/>
    <n v="27"/>
    <n v="57"/>
    <n v="4"/>
    <x v="2"/>
    <n v="7.53"/>
    <x v="2"/>
    <x v="3"/>
    <n v="26"/>
    <n v="179"/>
    <n v="7"/>
    <n v="96.42"/>
    <s v="Fail"/>
    <n v="4.9400000000000004"/>
    <x v="0"/>
    <s v="Route A"/>
    <n v="635.66"/>
    <n v="3.2447142558090851"/>
    <s v="normal"/>
  </r>
  <r>
    <x v="0"/>
    <x v="43"/>
    <n v="11.74"/>
    <x v="35"/>
    <n v="598"/>
    <n v="5737.43"/>
    <x v="2"/>
    <n v="36"/>
    <n v="29"/>
    <n v="85"/>
    <n v="9"/>
    <x v="0"/>
    <n v="3.69"/>
    <x v="2"/>
    <x v="0"/>
    <n v="1"/>
    <n v="206"/>
    <n v="23"/>
    <n v="26.28"/>
    <s v="Pending"/>
    <n v="0.37"/>
    <x v="1"/>
    <s v="Route A"/>
    <n v="716.04"/>
    <n v="12.518316935315051"/>
    <s v="normal"/>
  </r>
  <r>
    <x v="2"/>
    <x v="44"/>
    <n v="51.36"/>
    <x v="2"/>
    <n v="919"/>
    <n v="7152.29"/>
    <x v="1"/>
    <n v="13"/>
    <n v="19"/>
    <n v="72"/>
    <n v="6"/>
    <x v="2"/>
    <n v="7.58"/>
    <x v="4"/>
    <x v="2"/>
    <n v="7"/>
    <n v="834"/>
    <n v="18"/>
    <n v="22.55"/>
    <s v="Fail"/>
    <n v="2.96"/>
    <x v="2"/>
    <s v="Route A"/>
    <n v="610.45000000000005"/>
    <n v="19.238015490893865"/>
    <s v="normal"/>
  </r>
  <r>
    <x v="0"/>
    <x v="45"/>
    <n v="33.78"/>
    <x v="36"/>
    <n v="24"/>
    <n v="5267.96"/>
    <x v="3"/>
    <n v="93"/>
    <n v="7"/>
    <n v="52"/>
    <n v="6"/>
    <x v="0"/>
    <n v="5.22"/>
    <x v="4"/>
    <x v="4"/>
    <n v="25"/>
    <n v="794"/>
    <n v="25"/>
    <n v="66.31"/>
    <s v="Pass"/>
    <n v="3.22"/>
    <x v="2"/>
    <s v="Route A"/>
    <n v="495.31"/>
    <n v="0.50240736864140667"/>
    <s v="overstock"/>
  </r>
  <r>
    <x v="0"/>
    <x v="46"/>
    <n v="27.08"/>
    <x v="32"/>
    <n v="859"/>
    <n v="2556.77"/>
    <x v="0"/>
    <n v="92"/>
    <n v="29"/>
    <n v="6"/>
    <n v="8"/>
    <x v="0"/>
    <n v="4.07"/>
    <x v="0"/>
    <x v="4"/>
    <n v="18"/>
    <n v="870"/>
    <n v="23"/>
    <n v="77.319999999999993"/>
    <s v="Pending"/>
    <n v="3.65"/>
    <x v="0"/>
    <s v="Route B"/>
    <n v="380.44"/>
    <n v="17.981997069290347"/>
    <s v="normal"/>
  </r>
  <r>
    <x v="1"/>
    <x v="47"/>
    <n v="95.71"/>
    <x v="37"/>
    <n v="910"/>
    <n v="7089.47"/>
    <x v="3"/>
    <n v="4"/>
    <n v="15"/>
    <n v="51"/>
    <n v="9"/>
    <x v="0"/>
    <n v="8.98"/>
    <x v="1"/>
    <x v="1"/>
    <n v="10"/>
    <n v="964"/>
    <n v="20"/>
    <n v="19.71"/>
    <s v="Pending"/>
    <n v="0.38"/>
    <x v="2"/>
    <s v="Route A"/>
    <n v="581.6"/>
    <n v="19.049612727653336"/>
    <s v="normal"/>
  </r>
  <r>
    <x v="0"/>
    <x v="48"/>
    <n v="76.040000000000006"/>
    <x v="28"/>
    <n v="29"/>
    <n v="7397.07"/>
    <x v="0"/>
    <n v="30"/>
    <n v="16"/>
    <n v="9"/>
    <n v="3"/>
    <x v="2"/>
    <n v="7.1"/>
    <x v="4"/>
    <x v="0"/>
    <n v="9"/>
    <n v="109"/>
    <n v="18"/>
    <n v="23.13"/>
    <s v="Fail"/>
    <n v="1.7"/>
    <x v="2"/>
    <s v="Route B"/>
    <n v="768.65"/>
    <n v="0.6070755704416998"/>
    <s v="overstock"/>
  </r>
  <r>
    <x v="2"/>
    <x v="49"/>
    <n v="78.900000000000006"/>
    <x v="38"/>
    <n v="99"/>
    <n v="8001.61"/>
    <x v="2"/>
    <n v="97"/>
    <n v="24"/>
    <n v="9"/>
    <n v="6"/>
    <x v="2"/>
    <n v="2.5099999999999998"/>
    <x v="2"/>
    <x v="2"/>
    <n v="28"/>
    <n v="177"/>
    <n v="28"/>
    <n v="14.15"/>
    <s v="Pass"/>
    <n v="2.83"/>
    <x v="2"/>
    <s v="Route A"/>
    <n v="336.89"/>
    <n v="2.0724303956458026"/>
    <s v="normal"/>
  </r>
  <r>
    <x v="2"/>
    <x v="50"/>
    <n v="14.2"/>
    <x v="39"/>
    <n v="633"/>
    <n v="5910.89"/>
    <x v="1"/>
    <n v="31"/>
    <n v="23"/>
    <n v="82"/>
    <n v="10"/>
    <x v="1"/>
    <n v="6.25"/>
    <x v="4"/>
    <x v="2"/>
    <n v="20"/>
    <n v="306"/>
    <n v="21"/>
    <n v="45.18"/>
    <s v="Fail"/>
    <n v="4.75"/>
    <x v="2"/>
    <s v="Route B"/>
    <n v="496.25"/>
    <n v="13.250994347917102"/>
    <s v="normal"/>
  </r>
  <r>
    <x v="0"/>
    <x v="51"/>
    <n v="26.7"/>
    <x v="40"/>
    <n v="154"/>
    <n v="9866.4699999999993"/>
    <x v="3"/>
    <n v="100"/>
    <n v="4"/>
    <n v="52"/>
    <n v="1"/>
    <x v="1"/>
    <n v="4.78"/>
    <x v="2"/>
    <x v="3"/>
    <n v="18"/>
    <n v="673"/>
    <n v="28"/>
    <n v="14.19"/>
    <s v="Pending"/>
    <n v="1.77"/>
    <x v="0"/>
    <s v="Route A"/>
    <n v="694.98"/>
    <n v="3.2237806154490265"/>
    <s v="normal"/>
  </r>
  <r>
    <x v="1"/>
    <x v="52"/>
    <n v="98.03"/>
    <x v="36"/>
    <n v="820"/>
    <n v="9435.76"/>
    <x v="3"/>
    <n v="64"/>
    <n v="11"/>
    <n v="11"/>
    <n v="1"/>
    <x v="0"/>
    <n v="8.6300000000000008"/>
    <x v="1"/>
    <x v="0"/>
    <n v="10"/>
    <n v="727"/>
    <n v="27"/>
    <n v="9.17"/>
    <s v="Pending"/>
    <n v="2.12"/>
    <x v="1"/>
    <s v="Route C"/>
    <n v="602.9"/>
    <n v="17.165585095248062"/>
    <s v="normal"/>
  </r>
  <r>
    <x v="1"/>
    <x v="53"/>
    <n v="30.34"/>
    <x v="37"/>
    <n v="242"/>
    <n v="8232.33"/>
    <x v="3"/>
    <n v="96"/>
    <n v="25"/>
    <n v="54"/>
    <n v="3"/>
    <x v="0"/>
    <n v="1.01"/>
    <x v="1"/>
    <x v="2"/>
    <n v="1"/>
    <n v="631"/>
    <n v="17"/>
    <n v="83.34"/>
    <s v="Pending"/>
    <n v="1.41"/>
    <x v="1"/>
    <s v="Route B"/>
    <n v="750.74"/>
    <n v="5.0659409671341846"/>
    <s v="normal"/>
  </r>
  <r>
    <x v="0"/>
    <x v="54"/>
    <n v="31.15"/>
    <x v="10"/>
    <n v="622"/>
    <n v="6088.02"/>
    <x v="0"/>
    <n v="33"/>
    <n v="22"/>
    <n v="61"/>
    <n v="3"/>
    <x v="0"/>
    <n v="4.3099999999999996"/>
    <x v="1"/>
    <x v="1"/>
    <n v="26"/>
    <n v="497"/>
    <n v="29"/>
    <n v="30.19"/>
    <s v="Pass"/>
    <n v="2.48"/>
    <x v="0"/>
    <s v="Route B"/>
    <n v="814.07"/>
    <n v="13.020724303956458"/>
    <s v="normal"/>
  </r>
  <r>
    <x v="0"/>
    <x v="55"/>
    <n v="79.86"/>
    <x v="41"/>
    <n v="701"/>
    <n v="2925.68"/>
    <x v="3"/>
    <n v="97"/>
    <n v="11"/>
    <n v="11"/>
    <n v="5"/>
    <x v="1"/>
    <n v="5.01"/>
    <x v="4"/>
    <x v="2"/>
    <n v="27"/>
    <n v="918"/>
    <n v="5"/>
    <n v="30.32"/>
    <s v="Fail"/>
    <n v="4.55"/>
    <x v="3"/>
    <s v="Route B"/>
    <n v="323.01"/>
    <n v="14.674481892401088"/>
    <s v="normal"/>
  </r>
  <r>
    <x v="1"/>
    <x v="56"/>
    <n v="20.99"/>
    <x v="42"/>
    <n v="93"/>
    <n v="4767.0200000000004"/>
    <x v="0"/>
    <n v="25"/>
    <n v="23"/>
    <n v="83"/>
    <n v="5"/>
    <x v="2"/>
    <n v="1.77"/>
    <x v="1"/>
    <x v="0"/>
    <n v="24"/>
    <n v="826"/>
    <n v="28"/>
    <n v="12.84"/>
    <s v="Pass"/>
    <n v="1.17"/>
    <x v="1"/>
    <s v="Route B"/>
    <n v="832.21"/>
    <n v="1.946828553485451"/>
    <s v="normal"/>
  </r>
  <r>
    <x v="0"/>
    <x v="57"/>
    <n v="49.26"/>
    <x v="43"/>
    <n v="227"/>
    <n v="1605.87"/>
    <x v="2"/>
    <n v="5"/>
    <n v="18"/>
    <n v="51"/>
    <n v="1"/>
    <x v="0"/>
    <n v="9.16"/>
    <x v="4"/>
    <x v="2"/>
    <n v="21"/>
    <n v="588"/>
    <n v="25"/>
    <n v="67.78"/>
    <s v="Pending"/>
    <n v="2.5099999999999998"/>
    <x v="2"/>
    <s v="Route A"/>
    <n v="482.19"/>
    <n v="4.7519363617333052"/>
    <s v="normal"/>
  </r>
  <r>
    <x v="1"/>
    <x v="58"/>
    <n v="59.84"/>
    <x v="44"/>
    <n v="896"/>
    <n v="2021.15"/>
    <x v="0"/>
    <n v="10"/>
    <n v="5"/>
    <n v="44"/>
    <n v="7"/>
    <x v="1"/>
    <n v="4.9400000000000004"/>
    <x v="0"/>
    <x v="2"/>
    <n v="18"/>
    <n v="396"/>
    <n v="7"/>
    <n v="65.05"/>
    <s v="Fail"/>
    <n v="1.73"/>
    <x v="0"/>
    <s v="Route B"/>
    <n v="110.36"/>
    <n v="18.756541762612517"/>
    <s v="normal"/>
  </r>
  <r>
    <x v="2"/>
    <x v="59"/>
    <n v="63.83"/>
    <x v="20"/>
    <n v="484"/>
    <n v="1061.6199999999999"/>
    <x v="0"/>
    <n v="100"/>
    <n v="16"/>
    <n v="26"/>
    <n v="7"/>
    <x v="0"/>
    <n v="7.29"/>
    <x v="1"/>
    <x v="1"/>
    <n v="11"/>
    <n v="176"/>
    <n v="4"/>
    <n v="1.9"/>
    <s v="Fail"/>
    <n v="0.45"/>
    <x v="1"/>
    <s v="Route A"/>
    <n v="312.57"/>
    <n v="10.131881934268369"/>
    <s v="normal"/>
  </r>
  <r>
    <x v="1"/>
    <x v="60"/>
    <n v="17.03"/>
    <x v="41"/>
    <n v="380"/>
    <n v="8864.08"/>
    <x v="1"/>
    <n v="41"/>
    <n v="27"/>
    <n v="72"/>
    <n v="8"/>
    <x v="2"/>
    <n v="4.38"/>
    <x v="3"/>
    <x v="0"/>
    <n v="29"/>
    <n v="929"/>
    <n v="24"/>
    <n v="87.21"/>
    <s v="Fail"/>
    <n v="2.85"/>
    <x v="2"/>
    <s v="Route A"/>
    <n v="430.17"/>
    <n v="7.9547833368222731"/>
    <s v="normal"/>
  </r>
  <r>
    <x v="0"/>
    <x v="61"/>
    <n v="52.03"/>
    <x v="16"/>
    <n v="117"/>
    <n v="6885.59"/>
    <x v="2"/>
    <n v="32"/>
    <n v="23"/>
    <n v="36"/>
    <n v="7"/>
    <x v="2"/>
    <n v="9.0299999999999994"/>
    <x v="3"/>
    <x v="1"/>
    <n v="14"/>
    <n v="480"/>
    <n v="12"/>
    <n v="78.7"/>
    <s v="Fail"/>
    <n v="4.37"/>
    <x v="1"/>
    <s v="Route A"/>
    <n v="164.37"/>
    <n v="2.4492359221268578"/>
    <s v="normal"/>
  </r>
  <r>
    <x v="2"/>
    <x v="62"/>
    <n v="72.8"/>
    <x v="45"/>
    <n v="270"/>
    <n v="3899.75"/>
    <x v="2"/>
    <n v="86"/>
    <n v="2"/>
    <n v="40"/>
    <n v="7"/>
    <x v="2"/>
    <n v="7.29"/>
    <x v="4"/>
    <x v="0"/>
    <n v="13"/>
    <n v="751"/>
    <n v="14"/>
    <n v="21.05"/>
    <s v="Pass"/>
    <n v="1.87"/>
    <x v="3"/>
    <s v="Route C"/>
    <n v="320.85000000000002"/>
    <n v="5.6520828972158252"/>
    <s v="normal"/>
  </r>
  <r>
    <x v="1"/>
    <x v="63"/>
    <n v="13.02"/>
    <x v="0"/>
    <n v="246"/>
    <n v="4256.95"/>
    <x v="0"/>
    <n v="54"/>
    <n v="19"/>
    <n v="10"/>
    <n v="4"/>
    <x v="1"/>
    <n v="2.46"/>
    <x v="0"/>
    <x v="3"/>
    <n v="18"/>
    <n v="736"/>
    <n v="10"/>
    <n v="20.079999999999998"/>
    <s v="Pending"/>
    <n v="3.63"/>
    <x v="3"/>
    <s v="Route A"/>
    <n v="687.29"/>
    <n v="5.1496755285744191"/>
    <s v="normal"/>
  </r>
  <r>
    <x v="1"/>
    <x v="64"/>
    <n v="89.63"/>
    <x v="10"/>
    <n v="134"/>
    <n v="8458.73"/>
    <x v="1"/>
    <n v="73"/>
    <n v="27"/>
    <n v="75"/>
    <n v="6"/>
    <x v="2"/>
    <n v="4.59"/>
    <x v="1"/>
    <x v="2"/>
    <n v="17"/>
    <n v="328"/>
    <n v="6"/>
    <n v="8.69"/>
    <s v="Fail"/>
    <n v="0.16"/>
    <x v="1"/>
    <s v="Route C"/>
    <n v="771.23"/>
    <n v="2.805107808247854"/>
    <s v="normal"/>
  </r>
  <r>
    <x v="1"/>
    <x v="65"/>
    <n v="33.700000000000003"/>
    <x v="46"/>
    <n v="457"/>
    <n v="8354.58"/>
    <x v="3"/>
    <n v="57"/>
    <n v="24"/>
    <n v="54"/>
    <n v="8"/>
    <x v="2"/>
    <n v="6.58"/>
    <x v="2"/>
    <x v="1"/>
    <n v="16"/>
    <n v="358"/>
    <n v="21"/>
    <n v="1.6"/>
    <s v="Fail"/>
    <n v="4.91"/>
    <x v="2"/>
    <s v="Route C"/>
    <n v="555.86"/>
    <n v="9.5666736445467855"/>
    <s v="normal"/>
  </r>
  <r>
    <x v="1"/>
    <x v="66"/>
    <n v="26.03"/>
    <x v="47"/>
    <n v="704"/>
    <n v="8367.7199999999993"/>
    <x v="1"/>
    <n v="13"/>
    <n v="17"/>
    <n v="19"/>
    <n v="8"/>
    <x v="1"/>
    <n v="2.2200000000000002"/>
    <x v="2"/>
    <x v="1"/>
    <n v="24"/>
    <n v="867"/>
    <n v="28"/>
    <n v="42.08"/>
    <s v="Fail"/>
    <n v="3.45"/>
    <x v="0"/>
    <s v="Route A"/>
    <n v="393.84"/>
    <n v="14.737282813481263"/>
    <s v="normal"/>
  </r>
  <r>
    <x v="1"/>
    <x v="67"/>
    <n v="87.76"/>
    <x v="41"/>
    <n v="513"/>
    <n v="9473.7999999999993"/>
    <x v="2"/>
    <n v="12"/>
    <n v="9"/>
    <n v="71"/>
    <n v="9"/>
    <x v="2"/>
    <n v="9.15"/>
    <x v="1"/>
    <x v="0"/>
    <n v="10"/>
    <n v="198"/>
    <n v="11"/>
    <n v="7.06"/>
    <s v="Pass"/>
    <n v="0.13"/>
    <x v="3"/>
    <s v="Route C"/>
    <n v="169.27"/>
    <n v="10.738957504710068"/>
    <s v="normal"/>
  </r>
  <r>
    <x v="0"/>
    <x v="68"/>
    <n v="37.93"/>
    <x v="48"/>
    <n v="163"/>
    <n v="3550.22"/>
    <x v="0"/>
    <n v="0"/>
    <n v="8"/>
    <n v="58"/>
    <n v="8"/>
    <x v="0"/>
    <n v="1.19"/>
    <x v="4"/>
    <x v="3"/>
    <n v="2"/>
    <n v="375"/>
    <n v="18"/>
    <n v="97.11"/>
    <s v="Fail"/>
    <n v="1.98"/>
    <x v="2"/>
    <s v="Route A"/>
    <n v="299.70999999999998"/>
    <n v="3.4121833786895537"/>
    <s v="normal"/>
  </r>
  <r>
    <x v="1"/>
    <x v="69"/>
    <n v="54.87"/>
    <x v="49"/>
    <n v="511"/>
    <n v="1752.38"/>
    <x v="0"/>
    <n v="95"/>
    <n v="1"/>
    <n v="27"/>
    <n v="3"/>
    <x v="0"/>
    <n v="9.7100000000000009"/>
    <x v="3"/>
    <x v="1"/>
    <n v="9"/>
    <n v="862"/>
    <n v="7"/>
    <n v="77.63"/>
    <s v="Pending"/>
    <n v="1.36"/>
    <x v="1"/>
    <s v="Route A"/>
    <n v="207.66"/>
    <n v="10.697090223989951"/>
    <s v="normal"/>
  </r>
  <r>
    <x v="0"/>
    <x v="70"/>
    <n v="47.91"/>
    <x v="42"/>
    <n v="32"/>
    <n v="7014.89"/>
    <x v="1"/>
    <n v="10"/>
    <n v="12"/>
    <n v="22"/>
    <n v="4"/>
    <x v="0"/>
    <n v="6.32"/>
    <x v="1"/>
    <x v="3"/>
    <n v="22"/>
    <n v="775"/>
    <n v="16"/>
    <n v="11.44"/>
    <s v="Pass"/>
    <n v="1.83"/>
    <x v="0"/>
    <s v="Route C"/>
    <n v="183.27"/>
    <n v="0.66987649152187556"/>
    <s v="normal"/>
  </r>
  <r>
    <x v="2"/>
    <x v="71"/>
    <n v="6.38"/>
    <x v="50"/>
    <n v="637"/>
    <n v="8180.34"/>
    <x v="1"/>
    <n v="76"/>
    <n v="2"/>
    <n v="26"/>
    <n v="6"/>
    <x v="1"/>
    <n v="9.23"/>
    <x v="4"/>
    <x v="3"/>
    <n v="2"/>
    <n v="258"/>
    <n v="10"/>
    <n v="30.66"/>
    <s v="Pending"/>
    <n v="2.08"/>
    <x v="0"/>
    <s v="Route A"/>
    <n v="405.17"/>
    <n v="13.334728909357336"/>
    <s v="normal"/>
  </r>
  <r>
    <x v="2"/>
    <x v="72"/>
    <n v="90.2"/>
    <x v="51"/>
    <n v="478"/>
    <n v="2633.12"/>
    <x v="0"/>
    <n v="57"/>
    <n v="29"/>
    <n v="77"/>
    <n v="9"/>
    <x v="1"/>
    <n v="6.6"/>
    <x v="1"/>
    <x v="3"/>
    <n v="21"/>
    <n v="152"/>
    <n v="11"/>
    <n v="55.76"/>
    <s v="Pending"/>
    <n v="3.21"/>
    <x v="2"/>
    <s v="Route B"/>
    <n v="677.94"/>
    <n v="10.006280092108017"/>
    <s v="normal"/>
  </r>
  <r>
    <x v="2"/>
    <x v="73"/>
    <n v="83.85"/>
    <x v="11"/>
    <n v="375"/>
    <n v="7910.89"/>
    <x v="3"/>
    <n v="17"/>
    <n v="25"/>
    <n v="66"/>
    <n v="5"/>
    <x v="0"/>
    <n v="1.51"/>
    <x v="3"/>
    <x v="4"/>
    <n v="13"/>
    <n v="444"/>
    <n v="4"/>
    <n v="46.87"/>
    <s v="Fail"/>
    <n v="4.62"/>
    <x v="0"/>
    <s v="Route A"/>
    <n v="866.47"/>
    <n v="7.85011513502198"/>
    <s v="normal"/>
  </r>
  <r>
    <x v="0"/>
    <x v="74"/>
    <n v="3.17"/>
    <x v="52"/>
    <n v="904"/>
    <n v="5709.95"/>
    <x v="1"/>
    <n v="41"/>
    <n v="6"/>
    <n v="1"/>
    <n v="5"/>
    <x v="1"/>
    <n v="5.24"/>
    <x v="3"/>
    <x v="2"/>
    <n v="1"/>
    <n v="919"/>
    <n v="9"/>
    <n v="80.58"/>
    <s v="Fail"/>
    <n v="0.4"/>
    <x v="2"/>
    <s v="Route A"/>
    <n v="341.55"/>
    <n v="18.924010885492986"/>
    <s v="normal"/>
  </r>
  <r>
    <x v="1"/>
    <x v="75"/>
    <n v="93"/>
    <x v="48"/>
    <n v="106"/>
    <n v="1889.07"/>
    <x v="0"/>
    <n v="16"/>
    <n v="20"/>
    <n v="56"/>
    <n v="10"/>
    <x v="2"/>
    <n v="2.4700000000000002"/>
    <x v="1"/>
    <x v="4"/>
    <n v="25"/>
    <n v="759"/>
    <n v="11"/>
    <n v="48.06"/>
    <s v="Pass"/>
    <n v="2.0299999999999998"/>
    <x v="1"/>
    <s v="Route C"/>
    <n v="873.13"/>
    <n v="2.2189658781662129"/>
    <s v="normal"/>
  </r>
  <r>
    <x v="0"/>
    <x v="76"/>
    <n v="69.11"/>
    <x v="16"/>
    <n v="241"/>
    <n v="5328.38"/>
    <x v="3"/>
    <n v="38"/>
    <n v="1"/>
    <n v="22"/>
    <n v="10"/>
    <x v="1"/>
    <n v="7.05"/>
    <x v="4"/>
    <x v="3"/>
    <n v="25"/>
    <n v="985"/>
    <n v="24"/>
    <n v="64.319999999999993"/>
    <s v="Pending"/>
    <n v="2.1800000000000002"/>
    <x v="2"/>
    <s v="Route A"/>
    <n v="997.41"/>
    <n v="5.045007326774126"/>
    <s v="normal"/>
  </r>
  <r>
    <x v="0"/>
    <x v="77"/>
    <n v="57.45"/>
    <x v="50"/>
    <n v="359"/>
    <n v="2483.7600000000002"/>
    <x v="2"/>
    <n v="96"/>
    <n v="28"/>
    <n v="57"/>
    <n v="4"/>
    <x v="0"/>
    <n v="6.78"/>
    <x v="1"/>
    <x v="1"/>
    <n v="26"/>
    <n v="334"/>
    <n v="5"/>
    <n v="42.95"/>
    <s v="Pass"/>
    <n v="3.06"/>
    <x v="0"/>
    <s v="Route B"/>
    <n v="852.57"/>
    <n v="7.515176889261042"/>
    <s v="normal"/>
  </r>
  <r>
    <x v="0"/>
    <x v="78"/>
    <n v="6.31"/>
    <x v="53"/>
    <n v="946"/>
    <n v="1292.46"/>
    <x v="2"/>
    <n v="5"/>
    <n v="4"/>
    <n v="51"/>
    <n v="5"/>
    <x v="0"/>
    <n v="8.4700000000000006"/>
    <x v="2"/>
    <x v="0"/>
    <n v="25"/>
    <n v="858"/>
    <n v="21"/>
    <n v="71.13"/>
    <s v="Pending"/>
    <n v="4.0999999999999996"/>
    <x v="3"/>
    <s v="Route C"/>
    <n v="323.58999999999997"/>
    <n v="19.803223780615447"/>
    <s v="normal"/>
  </r>
  <r>
    <x v="0"/>
    <x v="79"/>
    <n v="57.06"/>
    <x v="54"/>
    <n v="198"/>
    <n v="7888.72"/>
    <x v="0"/>
    <n v="31"/>
    <n v="25"/>
    <n v="20"/>
    <n v="1"/>
    <x v="0"/>
    <n v="6.5"/>
    <x v="0"/>
    <x v="3"/>
    <n v="5"/>
    <n v="228"/>
    <n v="12"/>
    <n v="57.87"/>
    <s v="Pending"/>
    <n v="0.17"/>
    <x v="1"/>
    <s v="Route C"/>
    <n v="351.5"/>
    <n v="4.1448607912916051"/>
    <s v="normal"/>
  </r>
  <r>
    <x v="1"/>
    <x v="80"/>
    <n v="91.13"/>
    <x v="32"/>
    <n v="872"/>
    <n v="8651.67"/>
    <x v="2"/>
    <n v="39"/>
    <n v="14"/>
    <n v="41"/>
    <n v="2"/>
    <x v="2"/>
    <n v="2.83"/>
    <x v="0"/>
    <x v="4"/>
    <n v="8"/>
    <n v="202"/>
    <n v="5"/>
    <n v="76.959999999999994"/>
    <s v="Fail"/>
    <n v="2.85"/>
    <x v="3"/>
    <s v="Route B"/>
    <n v="787.78"/>
    <n v="18.25413439397111"/>
    <s v="normal"/>
  </r>
  <r>
    <x v="0"/>
    <x v="81"/>
    <n v="72.819999999999993"/>
    <x v="23"/>
    <n v="774"/>
    <n v="4384.41"/>
    <x v="2"/>
    <n v="48"/>
    <n v="6"/>
    <n v="8"/>
    <n v="5"/>
    <x v="0"/>
    <n v="4.07"/>
    <x v="0"/>
    <x v="2"/>
    <n v="28"/>
    <n v="698"/>
    <n v="1"/>
    <n v="19.79"/>
    <s v="Pending"/>
    <n v="2.5499999999999998"/>
    <x v="2"/>
    <s v="Route B"/>
    <n v="276.77999999999997"/>
    <n v="16.202637638685367"/>
    <s v="normal"/>
  </r>
  <r>
    <x v="1"/>
    <x v="82"/>
    <n v="17.03"/>
    <x v="55"/>
    <n v="336"/>
    <n v="2943.38"/>
    <x v="2"/>
    <n v="42"/>
    <n v="19"/>
    <n v="72"/>
    <n v="1"/>
    <x v="1"/>
    <n v="4.71"/>
    <x v="4"/>
    <x v="0"/>
    <n v="6"/>
    <n v="955"/>
    <n v="26"/>
    <n v="4.47"/>
    <s v="Pending"/>
    <n v="4.1399999999999997"/>
    <x v="0"/>
    <s v="Route C"/>
    <n v="589.98"/>
    <n v="7.0337031609796936"/>
    <s v="normal"/>
  </r>
  <r>
    <x v="0"/>
    <x v="83"/>
    <n v="68.91"/>
    <x v="15"/>
    <n v="663"/>
    <n v="2411.75"/>
    <x v="2"/>
    <n v="65"/>
    <n v="24"/>
    <n v="7"/>
    <n v="8"/>
    <x v="0"/>
    <n v="4.95"/>
    <x v="1"/>
    <x v="3"/>
    <n v="20"/>
    <n v="443"/>
    <n v="5"/>
    <n v="97.73"/>
    <s v="Fail"/>
    <n v="0.77"/>
    <x v="0"/>
    <s v="Route A"/>
    <n v="682.97"/>
    <n v="13.87900355871886"/>
    <s v="normal"/>
  </r>
  <r>
    <x v="0"/>
    <x v="84"/>
    <n v="89.1"/>
    <x v="56"/>
    <n v="618"/>
    <n v="2048.29"/>
    <x v="2"/>
    <n v="73"/>
    <n v="26"/>
    <n v="80"/>
    <n v="10"/>
    <x v="1"/>
    <n v="8.3800000000000008"/>
    <x v="2"/>
    <x v="4"/>
    <n v="24"/>
    <n v="589"/>
    <n v="22"/>
    <n v="33.81"/>
    <s v="Pass"/>
    <n v="4.84"/>
    <x v="1"/>
    <s v="Route B"/>
    <n v="465.46"/>
    <n v="12.936989742516223"/>
    <s v="normal"/>
  </r>
  <r>
    <x v="2"/>
    <x v="85"/>
    <n v="76.959999999999994"/>
    <x v="57"/>
    <n v="25"/>
    <n v="8684.61"/>
    <x v="1"/>
    <n v="15"/>
    <n v="18"/>
    <n v="66"/>
    <n v="2"/>
    <x v="2"/>
    <n v="8.25"/>
    <x v="2"/>
    <x v="4"/>
    <n v="4"/>
    <n v="211"/>
    <n v="2"/>
    <n v="69.930000000000007"/>
    <s v="Fail"/>
    <n v="1.37"/>
    <x v="0"/>
    <s v="Route B"/>
    <n v="842.69"/>
    <n v="0.5233410090014653"/>
    <s v="normal"/>
  </r>
  <r>
    <x v="1"/>
    <x v="86"/>
    <n v="20"/>
    <x v="58"/>
    <n v="223"/>
    <n v="1229.5899999999999"/>
    <x v="2"/>
    <n v="32"/>
    <n v="14"/>
    <n v="22"/>
    <n v="6"/>
    <x v="0"/>
    <n v="1.45"/>
    <x v="1"/>
    <x v="0"/>
    <n v="4"/>
    <n v="569"/>
    <n v="18"/>
    <n v="74.61"/>
    <s v="Pass"/>
    <n v="2.0499999999999998"/>
    <x v="2"/>
    <s v="Route A"/>
    <n v="264.25"/>
    <n v="4.6682018002930707"/>
    <s v="normal"/>
  </r>
  <r>
    <x v="0"/>
    <x v="87"/>
    <n v="80.41"/>
    <x v="59"/>
    <n v="79"/>
    <n v="5133.8500000000004"/>
    <x v="3"/>
    <n v="5"/>
    <n v="7"/>
    <n v="55"/>
    <n v="10"/>
    <x v="1"/>
    <n v="6.58"/>
    <x v="0"/>
    <x v="4"/>
    <n v="27"/>
    <n v="523"/>
    <n v="17"/>
    <n v="28.7"/>
    <s v="Fail"/>
    <n v="3.69"/>
    <x v="3"/>
    <s v="Route B"/>
    <n v="879.36"/>
    <n v="1.6537575884446305"/>
    <s v="normal"/>
  </r>
  <r>
    <x v="2"/>
    <x v="88"/>
    <n v="75.27"/>
    <x v="60"/>
    <n v="737"/>
    <n v="9444.74"/>
    <x v="3"/>
    <n v="60"/>
    <n v="18"/>
    <n v="85"/>
    <n v="7"/>
    <x v="1"/>
    <n v="3.8"/>
    <x v="4"/>
    <x v="0"/>
    <n v="21"/>
    <n v="953"/>
    <n v="11"/>
    <n v="68.180000000000007"/>
    <s v="Pending"/>
    <n v="0.72"/>
    <x v="3"/>
    <s v="Route A"/>
    <n v="103.92"/>
    <n v="15.428092945363197"/>
    <s v="normal"/>
  </r>
  <r>
    <x v="2"/>
    <x v="89"/>
    <n v="97.76"/>
    <x v="27"/>
    <n v="134"/>
    <n v="5924.68"/>
    <x v="2"/>
    <n v="90"/>
    <n v="1"/>
    <n v="27"/>
    <n v="8"/>
    <x v="0"/>
    <n v="9.93"/>
    <x v="1"/>
    <x v="1"/>
    <n v="23"/>
    <n v="370"/>
    <n v="11"/>
    <n v="46.6"/>
    <s v="Pending"/>
    <n v="1.91"/>
    <x v="2"/>
    <s v="Route B"/>
    <n v="517.5"/>
    <n v="2.805107808247854"/>
    <s v="normal"/>
  </r>
  <r>
    <x v="1"/>
    <x v="90"/>
    <n v="13.88"/>
    <x v="54"/>
    <n v="320"/>
    <n v="9592.6299999999992"/>
    <x v="0"/>
    <n v="66"/>
    <n v="18"/>
    <n v="96"/>
    <n v="7"/>
    <x v="0"/>
    <n v="7.67"/>
    <x v="0"/>
    <x v="3"/>
    <n v="8"/>
    <n v="585"/>
    <n v="8"/>
    <n v="85.68"/>
    <s v="Pass"/>
    <n v="1.22"/>
    <x v="2"/>
    <s v="Route B"/>
    <n v="990.08"/>
    <n v="6.6987649152187565"/>
    <s v="normal"/>
  </r>
  <r>
    <x v="2"/>
    <x v="91"/>
    <n v="62.11"/>
    <x v="42"/>
    <n v="916"/>
    <n v="1935.21"/>
    <x v="3"/>
    <n v="98"/>
    <n v="22"/>
    <n v="85"/>
    <n v="7"/>
    <x v="0"/>
    <n v="7.47"/>
    <x v="3"/>
    <x v="2"/>
    <n v="5"/>
    <n v="207"/>
    <n v="28"/>
    <n v="39.770000000000003"/>
    <s v="Pending"/>
    <n v="0.63"/>
    <x v="2"/>
    <s v="Route B"/>
    <n v="996.78"/>
    <n v="19.17521456981369"/>
    <s v="normal"/>
  </r>
  <r>
    <x v="2"/>
    <x v="92"/>
    <n v="47.71"/>
    <x v="61"/>
    <n v="276"/>
    <n v="2100.13"/>
    <x v="3"/>
    <n v="90"/>
    <n v="25"/>
    <n v="10"/>
    <n v="8"/>
    <x v="0"/>
    <n v="4.47"/>
    <x v="4"/>
    <x v="0"/>
    <n v="4"/>
    <n v="671"/>
    <n v="29"/>
    <n v="62.61"/>
    <s v="Pass"/>
    <n v="0.33"/>
    <x v="2"/>
    <s v="Route B"/>
    <n v="230.09"/>
    <n v="5.777684739376177"/>
    <s v="normal"/>
  </r>
  <r>
    <x v="0"/>
    <x v="93"/>
    <n v="69.290000000000006"/>
    <x v="51"/>
    <n v="114"/>
    <n v="4531.3999999999996"/>
    <x v="2"/>
    <n v="63"/>
    <n v="17"/>
    <n v="66"/>
    <n v="1"/>
    <x v="2"/>
    <n v="7.01"/>
    <x v="3"/>
    <x v="4"/>
    <n v="21"/>
    <n v="824"/>
    <n v="20"/>
    <n v="35.630000000000003"/>
    <s v="Fail"/>
    <n v="4.17"/>
    <x v="1"/>
    <s v="Route A"/>
    <n v="823.52"/>
    <n v="2.3864350010466819"/>
    <s v="normal"/>
  </r>
  <r>
    <x v="2"/>
    <x v="94"/>
    <n v="3.04"/>
    <x v="33"/>
    <n v="987"/>
    <n v="7888.36"/>
    <x v="2"/>
    <n v="77"/>
    <n v="26"/>
    <n v="72"/>
    <n v="9"/>
    <x v="0"/>
    <n v="6.94"/>
    <x v="4"/>
    <x v="2"/>
    <n v="12"/>
    <n v="908"/>
    <n v="14"/>
    <n v="60.39"/>
    <s v="Pass"/>
    <n v="1.46"/>
    <x v="2"/>
    <s v="Route B"/>
    <n v="846.67"/>
    <n v="20.661503035377851"/>
    <s v="normal"/>
  </r>
  <r>
    <x v="0"/>
    <x v="95"/>
    <n v="77.900000000000006"/>
    <x v="43"/>
    <n v="672"/>
    <n v="7386.36"/>
    <x v="2"/>
    <n v="15"/>
    <n v="14"/>
    <n v="26"/>
    <n v="9"/>
    <x v="0"/>
    <n v="8.6300000000000008"/>
    <x v="3"/>
    <x v="0"/>
    <n v="18"/>
    <n v="450"/>
    <n v="26"/>
    <n v="58.89"/>
    <s v="Pending"/>
    <n v="1.21"/>
    <x v="1"/>
    <s v="Route A"/>
    <n v="778.86"/>
    <n v="14.067406321959387"/>
    <s v="normal"/>
  </r>
  <r>
    <x v="2"/>
    <x v="96"/>
    <n v="24.42"/>
    <x v="48"/>
    <n v="324"/>
    <n v="7698.42"/>
    <x v="0"/>
    <n v="67"/>
    <n v="2"/>
    <n v="32"/>
    <n v="3"/>
    <x v="2"/>
    <n v="5.35"/>
    <x v="0"/>
    <x v="0"/>
    <n v="28"/>
    <n v="648"/>
    <n v="28"/>
    <n v="17.8"/>
    <s v="Pending"/>
    <n v="3.87"/>
    <x v="0"/>
    <s v="Route A"/>
    <n v="188.74"/>
    <n v="6.7824994766589901"/>
    <s v="normal"/>
  </r>
  <r>
    <x v="0"/>
    <x v="97"/>
    <n v="3.53"/>
    <x v="54"/>
    <n v="62"/>
    <n v="4370.92"/>
    <x v="3"/>
    <n v="46"/>
    <n v="19"/>
    <n v="4"/>
    <n v="9"/>
    <x v="1"/>
    <n v="7.9"/>
    <x v="3"/>
    <x v="0"/>
    <n v="10"/>
    <n v="535"/>
    <n v="13"/>
    <n v="65.77"/>
    <s v="Fail"/>
    <n v="3.38"/>
    <x v="0"/>
    <s v="Route A"/>
    <n v="540.13"/>
    <n v="1.2978857023236341"/>
    <s v="normal"/>
  </r>
  <r>
    <x v="1"/>
    <x v="98"/>
    <n v="19.75"/>
    <x v="29"/>
    <n v="913"/>
    <n v="8525.9500000000007"/>
    <x v="1"/>
    <n v="53"/>
    <n v="1"/>
    <n v="27"/>
    <n v="7"/>
    <x v="0"/>
    <n v="1.41"/>
    <x v="2"/>
    <x v="4"/>
    <n v="28"/>
    <n v="581"/>
    <n v="9"/>
    <n v="5.6"/>
    <s v="Pending"/>
    <n v="2.91"/>
    <x v="2"/>
    <s v="Route A"/>
    <n v="882.2"/>
    <n v="19.112413648733515"/>
    <s v="normal"/>
  </r>
  <r>
    <x v="0"/>
    <x v="99"/>
    <n v="68.52"/>
    <x v="62"/>
    <n v="627"/>
    <n v="9185.19"/>
    <x v="2"/>
    <n v="55"/>
    <n v="8"/>
    <n v="59"/>
    <n v="6"/>
    <x v="0"/>
    <n v="1.31"/>
    <x v="4"/>
    <x v="4"/>
    <n v="29"/>
    <n v="921"/>
    <n v="2"/>
    <n v="38.07"/>
    <s v="Fail"/>
    <n v="0.35"/>
    <x v="2"/>
    <s v="Route B"/>
    <n v="210.74"/>
    <n v="13.12539250575675"/>
    <s v="normal"/>
  </r>
  <r>
    <x v="3"/>
    <x v="100"/>
    <m/>
    <x v="63"/>
    <m/>
    <m/>
    <x v="4"/>
    <m/>
    <m/>
    <m/>
    <m/>
    <x v="3"/>
    <m/>
    <x v="5"/>
    <x v="5"/>
    <m/>
    <m/>
    <m/>
    <m/>
    <m/>
    <m/>
    <x v="4"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haircare"/>
    <x v="0"/>
    <n v="69.81"/>
    <n v="55"/>
    <n v="802"/>
    <n v="8662"/>
    <s v="Non-binary"/>
    <n v="58"/>
    <n v="7"/>
    <n v="96"/>
    <n v="4"/>
    <s v="Carrier B"/>
    <n v="2.96"/>
    <s v="Supplier 3"/>
    <s v="Mumbai"/>
    <n v="29"/>
    <n v="215"/>
    <n v="29"/>
    <n v="46.28"/>
    <s v="Pending"/>
    <x v="0"/>
    <s v="Road"/>
    <s v="Route B"/>
    <n v="187.75"/>
    <n v="16.788779568767008"/>
    <s v="normal"/>
    <n v="4.3663688058489027"/>
    <n v="7.4137931034482758"/>
    <n v="4.6456352636127916"/>
  </r>
  <r>
    <s v="skincare"/>
    <x v="1"/>
    <n v="14.84"/>
    <n v="95"/>
    <n v="736"/>
    <n v="7460.9"/>
    <s v="Female"/>
    <n v="53"/>
    <n v="30"/>
    <n v="37"/>
    <n v="2"/>
    <s v="Carrier A"/>
    <n v="9.7200000000000006"/>
    <s v="Supplier 3"/>
    <s v="Mumbai"/>
    <n v="23"/>
    <n v="517"/>
    <n v="30"/>
    <n v="33.619999999999997"/>
    <s v="Pending"/>
    <x v="1"/>
    <s v="Road"/>
    <s v="Route B"/>
    <n v="503.07"/>
    <n v="15.407159305003139"/>
    <s v="normal"/>
    <n v="11.928934010152286"/>
    <n v="17.233333333333334"/>
    <n v="15.377751338488995"/>
  </r>
  <r>
    <s v="haircare"/>
    <x v="2"/>
    <n v="11.32"/>
    <n v="34"/>
    <n v="8"/>
    <n v="9577.75"/>
    <s v="Unknown"/>
    <n v="1"/>
    <n v="10"/>
    <n v="88"/>
    <n v="2"/>
    <s v="Carrier B"/>
    <n v="8.0500000000000007"/>
    <s v="Supplier 1"/>
    <s v="Mumbai"/>
    <n v="12"/>
    <n v="971"/>
    <n v="27"/>
    <n v="30.69"/>
    <s v="Pending"/>
    <x v="2"/>
    <s v="Air"/>
    <s v="Route C"/>
    <n v="141.91999999999999"/>
    <n v="0.16746912288046889"/>
    <s v="normal"/>
    <n v="25.064532782653586"/>
    <n v="35.962962962962962"/>
    <n v="31.638970348647767"/>
  </r>
  <r>
    <s v="skincare"/>
    <x v="3"/>
    <n v="61.16"/>
    <n v="68"/>
    <n v="83"/>
    <n v="7766.84"/>
    <s v="Non-binary"/>
    <n v="23"/>
    <n v="13"/>
    <n v="59"/>
    <n v="6"/>
    <s v="Carrier C"/>
    <n v="1.73"/>
    <s v="Supplier 5"/>
    <s v="Kolkata"/>
    <n v="24"/>
    <n v="937"/>
    <n v="18"/>
    <n v="35.619999999999997"/>
    <s v="Fail"/>
    <x v="3"/>
    <s v="Rail"/>
    <s v="Route A"/>
    <n v="254.78"/>
    <n v="1.7374921498848648"/>
    <s v="normal"/>
    <n v="25.087014725568945"/>
    <n v="52.055555555555557"/>
    <n v="26.305446378439083"/>
  </r>
  <r>
    <s v="skincare"/>
    <x v="4"/>
    <n v="4.8099999999999996"/>
    <n v="26"/>
    <n v="871"/>
    <n v="2686.51"/>
    <s v="Non-binary"/>
    <n v="5"/>
    <n v="3"/>
    <n v="56"/>
    <n v="8"/>
    <s v="Carrier A"/>
    <n v="3.89"/>
    <s v="Supplier 1"/>
    <s v="Delhi"/>
    <n v="5"/>
    <n v="414"/>
    <n v="3"/>
    <n v="92.07"/>
    <s v="Fail"/>
    <x v="4"/>
    <s v="Air"/>
    <s v="Route A"/>
    <n v="923.44"/>
    <n v="18.233200753611051"/>
    <s v="normal"/>
    <n v="4.3142976240100044"/>
    <n v="138"/>
    <n v="4.4965786901270777"/>
  </r>
  <r>
    <s v="haircare"/>
    <x v="5"/>
    <n v="1.7"/>
    <n v="87"/>
    <n v="147"/>
    <n v="2828.35"/>
    <s v="Non-binary"/>
    <n v="90"/>
    <n v="27"/>
    <n v="66"/>
    <n v="3"/>
    <s v="Carrier B"/>
    <n v="4.4400000000000004"/>
    <s v="Supplier 4"/>
    <s v="Bangalore"/>
    <n v="10"/>
    <n v="104"/>
    <n v="17"/>
    <n v="56.77"/>
    <s v="Fail"/>
    <x v="5"/>
    <s v="Road"/>
    <s v="Route A"/>
    <n v="235.46"/>
    <n v="3.0772451329286161"/>
    <s v="normal"/>
    <n v="1.6990687796111745"/>
    <n v="6.117647058823529"/>
    <n v="1.831953496565087"/>
  </r>
  <r>
    <s v="skincare"/>
    <x v="6"/>
    <n v="4.08"/>
    <n v="48"/>
    <n v="65"/>
    <n v="7823.48"/>
    <s v="Male"/>
    <n v="11"/>
    <n v="15"/>
    <n v="58"/>
    <n v="8"/>
    <s v="Carrier C"/>
    <n v="3.88"/>
    <s v="Supplier 3"/>
    <s v="Kolkata"/>
    <n v="14"/>
    <n v="314"/>
    <n v="24"/>
    <n v="1.0900000000000001"/>
    <s v="Pending"/>
    <x v="6"/>
    <s v="Sea"/>
    <s v="Route A"/>
    <n v="134.37"/>
    <n v="1.3606866234038097"/>
    <s v="normal"/>
    <n v="63.179074446680083"/>
    <n v="13.083333333333334"/>
    <n v="288.0733944954128"/>
  </r>
  <r>
    <s v="cosmetics"/>
    <x v="7"/>
    <n v="42.96"/>
    <n v="59"/>
    <n v="426"/>
    <n v="8496.1"/>
    <s v="Female"/>
    <n v="93"/>
    <n v="17"/>
    <n v="11"/>
    <n v="1"/>
    <s v="Carrier B"/>
    <n v="2.35"/>
    <s v="Supplier 4"/>
    <s v="Bangalore"/>
    <n v="22"/>
    <n v="564"/>
    <n v="1"/>
    <n v="99.47"/>
    <s v="Fail"/>
    <x v="7"/>
    <s v="Road"/>
    <s v="Route C"/>
    <n v="802.06"/>
    <n v="8.917730793384969"/>
    <s v="normal"/>
    <n v="5.5391868002357105"/>
    <n v="564"/>
    <n v="5.6700512717402232"/>
  </r>
  <r>
    <s v="cosmetics"/>
    <x v="8"/>
    <n v="68.72"/>
    <n v="78"/>
    <n v="150"/>
    <n v="7517.36"/>
    <s v="Female"/>
    <n v="5"/>
    <n v="10"/>
    <n v="15"/>
    <n v="7"/>
    <s v="Carrier C"/>
    <n v="3.4"/>
    <s v="Supplier 4"/>
    <s v="Mumbai"/>
    <n v="13"/>
    <n v="769"/>
    <n v="8"/>
    <n v="11.42"/>
    <s v="Pending"/>
    <x v="8"/>
    <s v="Sea"/>
    <s v="Route B"/>
    <n v="505.56"/>
    <n v="3.140046054008792"/>
    <s v="normal"/>
    <n v="51.889338731443992"/>
    <n v="96.125"/>
    <n v="67.338003502626975"/>
  </r>
  <r>
    <s v="skincare"/>
    <x v="9"/>
    <n v="64.02"/>
    <n v="35"/>
    <n v="980"/>
    <n v="4971.1499999999996"/>
    <s v="Unknown"/>
    <n v="14"/>
    <n v="27"/>
    <n v="83"/>
    <n v="1"/>
    <s v="Carrier A"/>
    <n v="7.17"/>
    <s v="Supplier 2"/>
    <s v="Chennai"/>
    <n v="29"/>
    <n v="963"/>
    <n v="23"/>
    <n v="47.96"/>
    <s v="Pending"/>
    <x v="9"/>
    <s v="Rail"/>
    <s v="Route B"/>
    <n v="995.93"/>
    <n v="20.514967552857442"/>
    <s v="normal"/>
    <n v="17.46780337384364"/>
    <n v="41.869565217391305"/>
    <n v="20.079232693911592"/>
  </r>
  <r>
    <s v="skincare"/>
    <x v="10"/>
    <n v="15.71"/>
    <n v="11"/>
    <n v="996"/>
    <n v="2330.9699999999998"/>
    <s v="Non-binary"/>
    <n v="51"/>
    <n v="13"/>
    <n v="80"/>
    <n v="2"/>
    <s v="Carrier C"/>
    <n v="8.67"/>
    <s v="Supplier 5"/>
    <s v="Kolkata"/>
    <n v="18"/>
    <n v="830"/>
    <n v="5"/>
    <n v="96.53"/>
    <s v="Pass"/>
    <x v="10"/>
    <s v="Road"/>
    <s v="Route B"/>
    <n v="806.1"/>
    <n v="20.84990579861838"/>
    <s v="normal"/>
    <n v="7.8897338403041823"/>
    <n v="166"/>
    <n v="8.5983632031492796"/>
  </r>
  <r>
    <s v="skincare"/>
    <x v="11"/>
    <n v="90.64"/>
    <n v="95"/>
    <n v="960"/>
    <n v="6099.94"/>
    <s v="Female"/>
    <n v="46"/>
    <n v="23"/>
    <n v="60"/>
    <n v="1"/>
    <s v="Carrier A"/>
    <n v="4.5199999999999996"/>
    <s v="Supplier 2"/>
    <s v="Kolkata"/>
    <n v="28"/>
    <n v="362"/>
    <n v="11"/>
    <n v="27.59"/>
    <s v="Pending"/>
    <x v="11"/>
    <s v="Air"/>
    <s v="Route A"/>
    <n v="126.72"/>
    <n v="20.096294745656269"/>
    <s v="normal"/>
    <n v="11.273746496418561"/>
    <n v="32.909090909090907"/>
    <n v="13.120695904313157"/>
  </r>
  <r>
    <s v="haircare"/>
    <x v="12"/>
    <n v="71.209999999999994"/>
    <n v="41"/>
    <n v="336"/>
    <n v="2873.74"/>
    <s v="Unknown"/>
    <n v="100"/>
    <n v="30"/>
    <n v="85"/>
    <n v="4"/>
    <s v="Carrier A"/>
    <n v="1.33"/>
    <s v="Supplier 4"/>
    <s v="Kolkata"/>
    <n v="3"/>
    <n v="563"/>
    <n v="3"/>
    <n v="32.32"/>
    <s v="Fail"/>
    <x v="12"/>
    <s v="Road"/>
    <s v="Route B"/>
    <n v="402.97"/>
    <n v="7.0337031609796936"/>
    <s v="normal"/>
    <n v="16.731054977711739"/>
    <n v="187.66666666666666"/>
    <n v="17.419554455445546"/>
  </r>
  <r>
    <s v="skincare"/>
    <x v="13"/>
    <n v="16.16"/>
    <n v="5"/>
    <n v="249"/>
    <n v="4052.74"/>
    <s v="Male"/>
    <n v="80"/>
    <n v="8"/>
    <n v="48"/>
    <n v="9"/>
    <s v="Carrier A"/>
    <n v="9.5399999999999991"/>
    <s v="Supplier 5"/>
    <s v="Bangalore"/>
    <n v="23"/>
    <n v="173"/>
    <n v="10"/>
    <n v="97.83"/>
    <s v="Pending"/>
    <x v="13"/>
    <s v="Road"/>
    <s v="Route B"/>
    <n v="547.24"/>
    <n v="5.212476449654595"/>
    <s v="normal"/>
    <n v="1.6112508149389959"/>
    <n v="17.3"/>
    <n v="1.7683737094960645"/>
  </r>
  <r>
    <s v="skincare"/>
    <x v="14"/>
    <n v="99.17"/>
    <n v="26"/>
    <n v="562"/>
    <n v="8653.57"/>
    <s v="Non-binary"/>
    <n v="54"/>
    <n v="29"/>
    <n v="78"/>
    <n v="5"/>
    <s v="Carrier B"/>
    <n v="2.04"/>
    <s v="Supplier 1"/>
    <s v="Kolkata"/>
    <n v="25"/>
    <n v="558"/>
    <n v="14"/>
    <n v="5.79"/>
    <s v="Pending"/>
    <x v="14"/>
    <s v="Air"/>
    <s v="Route B"/>
    <n v="929.24"/>
    <n v="11.76470588235294"/>
    <s v="normal"/>
    <n v="71.264367816091948"/>
    <n v="39.857142857142854"/>
    <n v="96.373056994818654"/>
  </r>
  <r>
    <s v="skincare"/>
    <x v="15"/>
    <n v="36.99"/>
    <n v="94"/>
    <n v="469"/>
    <n v="5442.09"/>
    <s v="Non-binary"/>
    <n v="9"/>
    <n v="8"/>
    <n v="69"/>
    <n v="7"/>
    <s v="Carrier B"/>
    <n v="2.42"/>
    <s v="Supplier 1"/>
    <s v="Bangalore"/>
    <n v="14"/>
    <n v="580"/>
    <n v="7"/>
    <n v="97.12"/>
    <s v="Pass"/>
    <x v="15"/>
    <s v="Sea"/>
    <s v="Route B"/>
    <n v="127.86"/>
    <n v="9.817877328867489"/>
    <s v="normal"/>
    <n v="5.8268032951577249"/>
    <n v="82.857142857142861"/>
    <n v="5.9719934102141679"/>
  </r>
  <r>
    <s v="skincare"/>
    <x v="16"/>
    <n v="7.55"/>
    <n v="74"/>
    <n v="280"/>
    <n v="6453.8"/>
    <s v="Female"/>
    <n v="2"/>
    <n v="5"/>
    <n v="78"/>
    <n v="1"/>
    <s v="Carrier B"/>
    <n v="4.1900000000000004"/>
    <s v="Supplier 1"/>
    <s v="Bangalore"/>
    <n v="3"/>
    <n v="399"/>
    <n v="21"/>
    <n v="77.11"/>
    <s v="Pass"/>
    <x v="16"/>
    <s v="Air"/>
    <s v="Route A"/>
    <n v="865.53"/>
    <n v="5.8614193008164115"/>
    <s v="normal"/>
    <n v="4.9077490774907755"/>
    <n v="19"/>
    <n v="5.1744261444689403"/>
  </r>
  <r>
    <s v="cosmetics"/>
    <x v="17"/>
    <n v="81.459999999999994"/>
    <n v="82"/>
    <n v="126"/>
    <n v="2629.4"/>
    <s v="Female"/>
    <n v="45"/>
    <n v="17"/>
    <n v="85"/>
    <n v="9"/>
    <s v="Carrier C"/>
    <n v="3.59"/>
    <s v="Supplier 1"/>
    <s v="Chennai"/>
    <n v="7"/>
    <n v="453"/>
    <n v="16"/>
    <n v="47.68"/>
    <s v="Fail"/>
    <x v="14"/>
    <s v="Air"/>
    <s v="Route C"/>
    <n v="670.93"/>
    <n v="2.637638685367385"/>
    <s v="normal"/>
    <n v="8.8355763604447048"/>
    <n v="28.3125"/>
    <n v="9.500838926174497"/>
  </r>
  <r>
    <s v="haircare"/>
    <x v="18"/>
    <n v="36.44"/>
    <n v="23"/>
    <n v="620"/>
    <n v="9364.67"/>
    <s v="Unknown"/>
    <n v="10"/>
    <n v="10"/>
    <n v="46"/>
    <n v="8"/>
    <s v="Carrier C"/>
    <n v="4.34"/>
    <s v="Supplier 2"/>
    <s v="Kolkata"/>
    <n v="18"/>
    <n v="374"/>
    <n v="17"/>
    <n v="27.11"/>
    <s v="Pending"/>
    <x v="17"/>
    <s v="Sea"/>
    <s v="Route A"/>
    <n v="593.48"/>
    <n v="12.97885702323634"/>
    <s v="normal"/>
    <n v="11.891891891891893"/>
    <n v="22"/>
    <n v="13.795647362596828"/>
  </r>
  <r>
    <s v="skincare"/>
    <x v="19"/>
    <n v="51.12"/>
    <n v="100"/>
    <n v="187"/>
    <n v="2553.5"/>
    <s v="Unknown"/>
    <n v="48"/>
    <n v="11"/>
    <n v="94"/>
    <n v="3"/>
    <s v="Carrier A"/>
    <n v="4.74"/>
    <s v="Supplier 4"/>
    <s v="Chennai"/>
    <n v="20"/>
    <n v="694"/>
    <n v="16"/>
    <n v="82.37"/>
    <s v="Fail"/>
    <x v="18"/>
    <s v="Road"/>
    <s v="Route C"/>
    <n v="477.31"/>
    <n v="3.9145907473309607"/>
    <s v="normal"/>
    <n v="7.9669383538055332"/>
    <n v="43.375"/>
    <n v="8.4253975962122123"/>
  </r>
  <r>
    <s v="skincare"/>
    <x v="20"/>
    <n v="96.34"/>
    <n v="22"/>
    <n v="320"/>
    <n v="8128.03"/>
    <s v="Unknown"/>
    <n v="27"/>
    <n v="12"/>
    <n v="68"/>
    <n v="6"/>
    <s v="Carrier A"/>
    <n v="8.8800000000000008"/>
    <s v="Supplier 1"/>
    <s v="Chennai"/>
    <n v="29"/>
    <n v="309"/>
    <n v="6"/>
    <n v="65.69"/>
    <s v="Pass"/>
    <x v="19"/>
    <s v="Air"/>
    <s v="Route B"/>
    <n v="493.87"/>
    <n v="6.6987649152187565"/>
    <s v="normal"/>
    <n v="4.143757543247955"/>
    <n v="51.5"/>
    <n v="4.7039123154209168"/>
  </r>
  <r>
    <s v="cosmetics"/>
    <x v="21"/>
    <n v="84.89"/>
    <n v="60"/>
    <n v="601"/>
    <n v="7087.05"/>
    <s v="Unknown"/>
    <n v="69"/>
    <n v="25"/>
    <n v="7"/>
    <n v="6"/>
    <s v="Carrier B"/>
    <n v="6.04"/>
    <s v="Supplier 5"/>
    <s v="Chennai"/>
    <n v="19"/>
    <n v="791"/>
    <n v="4"/>
    <n v="61.74"/>
    <s v="Pending"/>
    <x v="11"/>
    <s v="Air"/>
    <s v="Route C"/>
    <n v="523.36"/>
    <n v="12.581117856395226"/>
    <s v="normal"/>
    <n v="11.670109176748303"/>
    <n v="197.75"/>
    <n v="12.811791383219955"/>
  </r>
  <r>
    <s v="haircare"/>
    <x v="22"/>
    <n v="27.68"/>
    <n v="55"/>
    <n v="884"/>
    <n v="2390.81"/>
    <s v="Unknown"/>
    <n v="71"/>
    <n v="1"/>
    <n v="63"/>
    <n v="10"/>
    <s v="Carrier A"/>
    <n v="9.57"/>
    <s v="Supplier 4"/>
    <s v="Kolkata"/>
    <n v="22"/>
    <n v="780"/>
    <n v="28"/>
    <n v="50.12"/>
    <s v="Fail"/>
    <x v="20"/>
    <s v="Rail"/>
    <s v="Route C"/>
    <n v="205.57"/>
    <n v="18.505338078291814"/>
    <s v="normal"/>
    <n v="13.067515496733122"/>
    <n v="27.857142857142858"/>
    <n v="15.562649640861933"/>
  </r>
  <r>
    <s v="cosmetics"/>
    <x v="23"/>
    <n v="4.32"/>
    <n v="30"/>
    <n v="391"/>
    <n v="8858.3700000000008"/>
    <s v="Unknown"/>
    <n v="84"/>
    <n v="5"/>
    <n v="29"/>
    <n v="7"/>
    <s v="Carrier A"/>
    <n v="2.92"/>
    <s v="Supplier 5"/>
    <s v="Kolkata"/>
    <n v="11"/>
    <n v="568"/>
    <n v="29"/>
    <n v="98.61"/>
    <s v="Pending"/>
    <x v="21"/>
    <s v="Rail"/>
    <s v="Route A"/>
    <n v="196.33"/>
    <n v="8.185053380782918"/>
    <s v="normal"/>
    <n v="5.5944055944055942"/>
    <n v="19.586206896551722"/>
    <n v="5.7600649021397423"/>
  </r>
  <r>
    <s v="haircare"/>
    <x v="24"/>
    <n v="4.16"/>
    <n v="32"/>
    <n v="209"/>
    <n v="9049.08"/>
    <s v="Male"/>
    <n v="4"/>
    <n v="26"/>
    <n v="2"/>
    <n v="8"/>
    <s v="Carrier C"/>
    <n v="9.74"/>
    <s v="Supplier 2"/>
    <s v="Bangalore"/>
    <n v="28"/>
    <n v="447"/>
    <n v="3"/>
    <n v="40.380000000000003"/>
    <s v="Pending"/>
    <x v="22"/>
    <s v="Air"/>
    <s v="Route A"/>
    <n v="758.72"/>
    <n v="4.37513083525225"/>
    <s v="normal"/>
    <n v="8.9185953711093369"/>
    <n v="149"/>
    <n v="11.069836552748885"/>
  </r>
  <r>
    <s v="haircare"/>
    <x v="25"/>
    <n v="39.630000000000003"/>
    <n v="73"/>
    <n v="142"/>
    <n v="2174.7800000000002"/>
    <s v="Male"/>
    <n v="82"/>
    <n v="11"/>
    <n v="52"/>
    <n v="3"/>
    <s v="Carrier C"/>
    <n v="2.23"/>
    <s v="Supplier 4"/>
    <s v="Kolkata"/>
    <n v="19"/>
    <n v="934"/>
    <n v="23"/>
    <n v="78.28"/>
    <s v="Pending"/>
    <x v="23"/>
    <s v="Road"/>
    <s v="Route B"/>
    <n v="458.54"/>
    <n v="2.972576931128323"/>
    <s v="normal"/>
    <n v="11.601043348652341"/>
    <n v="40.608695652173914"/>
    <n v="11.931527848748084"/>
  </r>
  <r>
    <s v="haircare"/>
    <x v="26"/>
    <n v="97.45"/>
    <n v="9"/>
    <n v="353"/>
    <n v="3716.49"/>
    <s v="Male"/>
    <n v="59"/>
    <n v="16"/>
    <n v="48"/>
    <n v="4"/>
    <s v="Carrier B"/>
    <n v="6.51"/>
    <s v="Supplier 2"/>
    <s v="Bangalore"/>
    <n v="26"/>
    <n v="171"/>
    <n v="4"/>
    <n v="15.97"/>
    <s v="Pass"/>
    <x v="24"/>
    <s v="Rail"/>
    <s v="Route A"/>
    <n v="617.87"/>
    <n v="7.3895750471006902"/>
    <s v="normal"/>
    <n v="7.6067615658362984"/>
    <n v="42.75"/>
    <n v="10.707576706324359"/>
  </r>
  <r>
    <s v="cosmetics"/>
    <x v="27"/>
    <n v="92.56"/>
    <n v="42"/>
    <n v="352"/>
    <n v="2686.46"/>
    <s v="Unknown"/>
    <n v="47"/>
    <n v="9"/>
    <n v="62"/>
    <n v="8"/>
    <s v="Carrier C"/>
    <n v="7.41"/>
    <s v="Supplier 5"/>
    <s v="Mumbai"/>
    <n v="25"/>
    <n v="291"/>
    <n v="4"/>
    <n v="10.53"/>
    <s v="Fail"/>
    <x v="25"/>
    <s v="Sea"/>
    <s v="Route B"/>
    <n v="762.46"/>
    <n v="7.3686414067406316"/>
    <s v="normal"/>
    <n v="16.220735785953178"/>
    <n v="72.75"/>
    <n v="27.635327635327638"/>
  </r>
  <r>
    <s v="cosmetics"/>
    <x v="28"/>
    <n v="2.4"/>
    <n v="12"/>
    <n v="394"/>
    <n v="6117.32"/>
    <s v="Female"/>
    <n v="48"/>
    <n v="15"/>
    <n v="24"/>
    <n v="4"/>
    <s v="Carrier B"/>
    <n v="9.9"/>
    <s v="Supplier 1"/>
    <s v="Mumbai"/>
    <n v="13"/>
    <n v="171"/>
    <n v="7"/>
    <n v="59.43"/>
    <s v="Fail"/>
    <x v="26"/>
    <s v="Air"/>
    <s v="Route A"/>
    <n v="123.44"/>
    <n v="8.247854301863093"/>
    <s v="normal"/>
    <n v="2.4664647338814367"/>
    <n v="24.428571428571427"/>
    <n v="2.8773346794548207"/>
  </r>
  <r>
    <s v="cosmetics"/>
    <x v="29"/>
    <n v="63.45"/>
    <n v="3"/>
    <n v="253"/>
    <n v="8318.9"/>
    <s v="Female"/>
    <n v="45"/>
    <n v="5"/>
    <n v="67"/>
    <n v="7"/>
    <s v="Carrier B"/>
    <n v="8.1"/>
    <s v="Supplier 1"/>
    <s v="Kolkata"/>
    <n v="16"/>
    <n v="329"/>
    <n v="7"/>
    <n v="39.29"/>
    <s v="Pass"/>
    <x v="27"/>
    <s v="Road"/>
    <s v="Route B"/>
    <n v="764.94"/>
    <n v="5.2962110110948286"/>
    <s v="normal"/>
    <n v="6.9423929098966024"/>
    <n v="47"/>
    <n v="8.3736319674217352"/>
  </r>
  <r>
    <s v="haircare"/>
    <x v="30"/>
    <n v="8.02"/>
    <n v="10"/>
    <n v="327"/>
    <n v="2766.34"/>
    <s v="Male"/>
    <n v="60"/>
    <n v="26"/>
    <n v="35"/>
    <n v="7"/>
    <s v="Carrier B"/>
    <n v="8.9499999999999993"/>
    <s v="Supplier 4"/>
    <s v="Kolkata"/>
    <n v="27"/>
    <n v="806"/>
    <n v="30"/>
    <n v="51.63"/>
    <s v="Pending"/>
    <x v="28"/>
    <s v="Road"/>
    <s v="Route C"/>
    <n v="880.08"/>
    <n v="6.845300397739166"/>
    <s v="normal"/>
    <n v="13.304721030042918"/>
    <n v="26.866666666666667"/>
    <n v="15.611078830137517"/>
  </r>
  <r>
    <s v="skincare"/>
    <x v="31"/>
    <n v="50.85"/>
    <n v="28"/>
    <n v="168"/>
    <n v="9655.14"/>
    <s v="Male"/>
    <n v="6"/>
    <n v="17"/>
    <n v="44"/>
    <n v="4"/>
    <s v="Carrier B"/>
    <n v="2.68"/>
    <s v="Supplier 3"/>
    <s v="Chennai"/>
    <n v="24"/>
    <n v="461"/>
    <n v="8"/>
    <n v="60.25"/>
    <s v="Pending"/>
    <x v="29"/>
    <s v="Rail"/>
    <s v="Route C"/>
    <n v="609.38"/>
    <n v="3.5168515804898468"/>
    <s v="normal"/>
    <n v="7.3255998728746228"/>
    <n v="57.625"/>
    <n v="7.6514522821576767"/>
  </r>
  <r>
    <s v="skincare"/>
    <x v="32"/>
    <n v="79.209999999999994"/>
    <n v="43"/>
    <n v="781"/>
    <n v="9571.5499999999993"/>
    <s v="Unknown"/>
    <n v="89"/>
    <n v="13"/>
    <n v="64"/>
    <n v="4"/>
    <s v="Carrier C"/>
    <n v="6.6"/>
    <s v="Supplier 3"/>
    <s v="Kolkata"/>
    <n v="30"/>
    <n v="737"/>
    <n v="7"/>
    <n v="29.69"/>
    <s v="Pass"/>
    <x v="30"/>
    <s v="Road"/>
    <s v="Route A"/>
    <n v="761.17"/>
    <n v="16.349173121205776"/>
    <s v="normal"/>
    <n v="20.30862496555525"/>
    <n v="105.28571428571429"/>
    <n v="24.823172785449646"/>
  </r>
  <r>
    <s v="cosmetics"/>
    <x v="33"/>
    <n v="64.8"/>
    <n v="63"/>
    <n v="616"/>
    <n v="5150"/>
    <s v="Non-binary"/>
    <n v="4"/>
    <n v="17"/>
    <n v="95"/>
    <n v="9"/>
    <s v="Carrier C"/>
    <n v="4.8600000000000003"/>
    <s v="Supplier 5"/>
    <s v="Chennai"/>
    <n v="1"/>
    <n v="251"/>
    <n v="23"/>
    <n v="23.85"/>
    <s v="Fail"/>
    <x v="31"/>
    <s v="Sea"/>
    <s v="Route A"/>
    <n v="371.26"/>
    <n v="12.895122461796106"/>
    <s v="normal"/>
    <n v="8.742598397770811"/>
    <n v="10.913043478260869"/>
    <n v="10.524109014675052"/>
  </r>
  <r>
    <s v="skincare"/>
    <x v="34"/>
    <n v="37.47"/>
    <n v="96"/>
    <n v="602"/>
    <n v="9061.7099999999991"/>
    <s v="Unknown"/>
    <n v="1"/>
    <n v="26"/>
    <n v="21"/>
    <n v="7"/>
    <s v="Carrier A"/>
    <n v="1.02"/>
    <s v="Supplier 1"/>
    <s v="Chennai"/>
    <n v="4"/>
    <n v="452"/>
    <n v="10"/>
    <n v="10.75"/>
    <s v="Pass"/>
    <x v="32"/>
    <s v="Road"/>
    <s v="Route B"/>
    <n v="510.36"/>
    <n v="12.602051496755285"/>
    <s v="normal"/>
    <n v="38.40271877655055"/>
    <n v="45.2"/>
    <n v="42.046511627906973"/>
  </r>
  <r>
    <s v="cosmetics"/>
    <x v="35"/>
    <n v="84.96"/>
    <n v="11"/>
    <n v="449"/>
    <n v="6541.33"/>
    <s v="Female"/>
    <n v="42"/>
    <n v="27"/>
    <n v="85"/>
    <n v="8"/>
    <s v="Carrier C"/>
    <n v="5.29"/>
    <s v="Supplier 1"/>
    <s v="Delhi"/>
    <n v="3"/>
    <n v="367"/>
    <n v="2"/>
    <n v="58"/>
    <s v="Pass"/>
    <x v="33"/>
    <s v="Sea"/>
    <s v="Route C"/>
    <n v="553.41999999999996"/>
    <n v="9.3992045216663165"/>
    <s v="normal"/>
    <n v="5.7987043766787805"/>
    <n v="183.5"/>
    <n v="6.3275862068965516"/>
  </r>
  <r>
    <s v="skincare"/>
    <x v="36"/>
    <n v="9.81"/>
    <n v="34"/>
    <n v="963"/>
    <n v="7573.4"/>
    <s v="Female"/>
    <n v="18"/>
    <n v="23"/>
    <n v="28"/>
    <n v="3"/>
    <s v="Carrier B"/>
    <n v="2.11"/>
    <s v="Supplier 2"/>
    <s v="Delhi"/>
    <n v="26"/>
    <n v="671"/>
    <n v="19"/>
    <n v="45.53"/>
    <s v="Fail"/>
    <x v="34"/>
    <s v="Air"/>
    <s v="Route C"/>
    <n v="403.81"/>
    <n v="20.159095666736444"/>
    <s v="normal"/>
    <n v="14.084802686817801"/>
    <n v="35.315789473684212"/>
    <n v="14.737535690753349"/>
  </r>
  <r>
    <s v="skincare"/>
    <x v="37"/>
    <n v="23.4"/>
    <n v="5"/>
    <n v="963"/>
    <n v="2438.34"/>
    <s v="Female"/>
    <n v="25"/>
    <n v="8"/>
    <n v="21"/>
    <n v="9"/>
    <s v="Carrier A"/>
    <n v="1.53"/>
    <s v="Supplier 3"/>
    <s v="Kolkata"/>
    <n v="24"/>
    <n v="867"/>
    <n v="15"/>
    <n v="34.340000000000003"/>
    <s v="Pending"/>
    <x v="35"/>
    <s v="Sea"/>
    <s v="Route A"/>
    <n v="183.93"/>
    <n v="20.159095666736444"/>
    <s v="normal"/>
    <n v="24.170616113744074"/>
    <n v="57.8"/>
    <n v="25.247524752475243"/>
  </r>
  <r>
    <s v="cosmetics"/>
    <x v="38"/>
    <n v="52.08"/>
    <n v="75"/>
    <n v="705"/>
    <n v="9692.32"/>
    <s v="Non-binary"/>
    <n v="69"/>
    <n v="1"/>
    <n v="88"/>
    <n v="5"/>
    <s v="Carrier B"/>
    <n v="9.24"/>
    <s v="Supplier 5"/>
    <s v="Mumbai"/>
    <n v="10"/>
    <n v="841"/>
    <n v="12"/>
    <n v="5.93"/>
    <s v="Pending"/>
    <x v="36"/>
    <s v="Air"/>
    <s v="Route B"/>
    <n v="339.67"/>
    <n v="14.758216453841323"/>
    <s v="normal"/>
    <n v="55.438365194462754"/>
    <n v="70.083333333333329"/>
    <n v="141.82124789207421"/>
  </r>
  <r>
    <s v="skincare"/>
    <x v="39"/>
    <n v="19.13"/>
    <n v="26"/>
    <n v="176"/>
    <n v="1912.47"/>
    <s v="Female"/>
    <n v="78"/>
    <n v="29"/>
    <n v="34"/>
    <n v="3"/>
    <s v="Carrier A"/>
    <n v="5.56"/>
    <s v="Supplier 2"/>
    <s v="Kolkata"/>
    <n v="30"/>
    <n v="791"/>
    <n v="6"/>
    <n v="9.01"/>
    <s v="Fail"/>
    <x v="37"/>
    <s v="Air"/>
    <s v="Route B"/>
    <n v="653.66999999999996"/>
    <n v="3.6843207033703158"/>
    <s v="normal"/>
    <n v="54.289636238846946"/>
    <n v="131.83333333333334"/>
    <n v="87.791342952275258"/>
  </r>
  <r>
    <s v="skincare"/>
    <x v="40"/>
    <n v="80.540000000000006"/>
    <n v="97"/>
    <n v="933"/>
    <n v="5724.96"/>
    <s v="Female"/>
    <n v="90"/>
    <n v="20"/>
    <n v="39"/>
    <n v="8"/>
    <s v="Carrier C"/>
    <n v="7.23"/>
    <s v="Supplier 1"/>
    <s v="Kolkata"/>
    <n v="18"/>
    <n v="793"/>
    <n v="1"/>
    <n v="88.18"/>
    <s v="Pending"/>
    <x v="38"/>
    <s v="Road"/>
    <s v="Route A"/>
    <n v="529.80999999999995"/>
    <n v="19.531086455934688"/>
    <s v="normal"/>
    <n v="8.3114977465674453"/>
    <n v="793"/>
    <n v="8.992968927194374"/>
  </r>
  <r>
    <s v="skincare"/>
    <x v="41"/>
    <n v="99.11"/>
    <n v="35"/>
    <n v="556"/>
    <n v="5521.21"/>
    <s v="Female"/>
    <n v="64"/>
    <n v="19"/>
    <n v="38"/>
    <n v="8"/>
    <s v="Carrier B"/>
    <n v="5.77"/>
    <s v="Supplier 4"/>
    <s v="Chennai"/>
    <n v="18"/>
    <n v="892"/>
    <n v="7"/>
    <n v="95.33"/>
    <s v="Fail"/>
    <x v="39"/>
    <s v="Sea"/>
    <s v="Route A"/>
    <n v="275.52"/>
    <n v="11.639104040192588"/>
    <s v="normal"/>
    <n v="8.8229475766567766"/>
    <n v="127.42857142857143"/>
    <n v="9.3569705234448755"/>
  </r>
  <r>
    <s v="skincare"/>
    <x v="42"/>
    <n v="46.53"/>
    <n v="98"/>
    <n v="155"/>
    <n v="1839.61"/>
    <s v="Female"/>
    <n v="22"/>
    <n v="27"/>
    <n v="57"/>
    <n v="4"/>
    <s v="Carrier C"/>
    <n v="7.53"/>
    <s v="Supplier 5"/>
    <s v="Bangalore"/>
    <n v="26"/>
    <n v="179"/>
    <n v="7"/>
    <n v="96.42"/>
    <s v="Fail"/>
    <x v="40"/>
    <s v="Road"/>
    <s v="Route A"/>
    <n v="635.66"/>
    <n v="3.2447142558090851"/>
    <s v="normal"/>
    <n v="1.7219817219817219"/>
    <n v="25.571428571428573"/>
    <n v="1.856461315079859"/>
  </r>
  <r>
    <s v="haircare"/>
    <x v="43"/>
    <n v="11.74"/>
    <n v="6"/>
    <n v="598"/>
    <n v="5737.43"/>
    <s v="Unknown"/>
    <n v="36"/>
    <n v="29"/>
    <n v="85"/>
    <n v="9"/>
    <s v="Carrier B"/>
    <n v="3.69"/>
    <s v="Supplier 5"/>
    <s v="Mumbai"/>
    <n v="1"/>
    <n v="206"/>
    <n v="23"/>
    <n v="26.28"/>
    <s v="Pending"/>
    <x v="41"/>
    <s v="Air"/>
    <s v="Route A"/>
    <n v="716.04"/>
    <n v="12.518316935315051"/>
    <s v="normal"/>
    <n v="6.8735402068735398"/>
    <n v="8.9565217391304355"/>
    <n v="7.8386605783866052"/>
  </r>
  <r>
    <s v="cosmetics"/>
    <x v="44"/>
    <n v="51.36"/>
    <n v="34"/>
    <n v="919"/>
    <n v="7152.29"/>
    <s v="Female"/>
    <n v="13"/>
    <n v="19"/>
    <n v="72"/>
    <n v="6"/>
    <s v="Carrier C"/>
    <n v="7.58"/>
    <s v="Supplier 2"/>
    <s v="Delhi"/>
    <n v="7"/>
    <n v="834"/>
    <n v="18"/>
    <n v="22.55"/>
    <s v="Fail"/>
    <x v="42"/>
    <s v="Rail"/>
    <s v="Route A"/>
    <n v="610.45000000000005"/>
    <n v="19.238015490893865"/>
    <s v="normal"/>
    <n v="27.680053103219379"/>
    <n v="46.333333333333336"/>
    <n v="36.984478935698448"/>
  </r>
  <r>
    <s v="haircare"/>
    <x v="45"/>
    <n v="33.78"/>
    <n v="1"/>
    <n v="24"/>
    <n v="5267.96"/>
    <s v="Male"/>
    <n v="93"/>
    <n v="7"/>
    <n v="52"/>
    <n v="6"/>
    <s v="Carrier B"/>
    <n v="5.22"/>
    <s v="Supplier 2"/>
    <s v="Chennai"/>
    <n v="25"/>
    <n v="794"/>
    <n v="25"/>
    <n v="66.31"/>
    <s v="Pass"/>
    <x v="43"/>
    <s v="Rail"/>
    <s v="Route A"/>
    <n v="495.31"/>
    <n v="0.50240736864140667"/>
    <s v="overstock"/>
    <n v="11.100237662519223"/>
    <n v="31.76"/>
    <n v="11.974061227567486"/>
  </r>
  <r>
    <s v="haircare"/>
    <x v="46"/>
    <n v="27.08"/>
    <n v="75"/>
    <n v="859"/>
    <n v="2556.77"/>
    <s v="Non-binary"/>
    <n v="92"/>
    <n v="29"/>
    <n v="6"/>
    <n v="8"/>
    <s v="Carrier B"/>
    <n v="4.07"/>
    <s v="Supplier 3"/>
    <s v="Chennai"/>
    <n v="18"/>
    <n v="870"/>
    <n v="23"/>
    <n v="77.319999999999993"/>
    <s v="Pending"/>
    <x v="18"/>
    <s v="Road"/>
    <s v="Route B"/>
    <n v="380.44"/>
    <n v="17.981997069290347"/>
    <s v="normal"/>
    <n v="10.689273866568376"/>
    <n v="37.826086956521742"/>
    <n v="11.251939989653389"/>
  </r>
  <r>
    <s v="skincare"/>
    <x v="47"/>
    <n v="95.71"/>
    <n v="93"/>
    <n v="910"/>
    <n v="7089.47"/>
    <s v="Male"/>
    <n v="4"/>
    <n v="15"/>
    <n v="51"/>
    <n v="9"/>
    <s v="Carrier B"/>
    <n v="8.98"/>
    <s v="Supplier 1"/>
    <s v="Kolkata"/>
    <n v="10"/>
    <n v="964"/>
    <n v="20"/>
    <n v="19.71"/>
    <s v="Pending"/>
    <x v="44"/>
    <s v="Rail"/>
    <s v="Route A"/>
    <n v="581.6"/>
    <n v="19.049612727653336"/>
    <s v="normal"/>
    <n v="33.600557685604741"/>
    <n v="48.2"/>
    <n v="48.909183155758498"/>
  </r>
  <r>
    <s v="haircare"/>
    <x v="48"/>
    <n v="76.040000000000006"/>
    <n v="28"/>
    <n v="29"/>
    <n v="7397.07"/>
    <s v="Non-binary"/>
    <n v="30"/>
    <n v="16"/>
    <n v="9"/>
    <n v="3"/>
    <s v="Carrier C"/>
    <n v="7.1"/>
    <s v="Supplier 2"/>
    <s v="Mumbai"/>
    <n v="9"/>
    <n v="109"/>
    <n v="18"/>
    <n v="23.13"/>
    <s v="Fail"/>
    <x v="45"/>
    <s v="Rail"/>
    <s v="Route B"/>
    <n v="768.65"/>
    <n v="0.6070755704416998"/>
    <s v="overstock"/>
    <n v="3.6056897122064178"/>
    <n v="6.0555555555555554"/>
    <n v="4.7124945957630784"/>
  </r>
  <r>
    <s v="cosmetics"/>
    <x v="49"/>
    <n v="78.900000000000006"/>
    <n v="19"/>
    <n v="99"/>
    <n v="8001.61"/>
    <s v="Unknown"/>
    <n v="97"/>
    <n v="24"/>
    <n v="9"/>
    <n v="6"/>
    <s v="Carrier C"/>
    <n v="2.5099999999999998"/>
    <s v="Supplier 5"/>
    <s v="Delhi"/>
    <n v="28"/>
    <n v="177"/>
    <n v="28"/>
    <n v="14.15"/>
    <s v="Pass"/>
    <x v="46"/>
    <s v="Rail"/>
    <s v="Route A"/>
    <n v="336.89"/>
    <n v="2.0724303956458026"/>
    <s v="normal"/>
    <n v="10.624249699879952"/>
    <n v="6.3214285714285712"/>
    <n v="12.508833922261484"/>
  </r>
  <r>
    <s v="cosmetics"/>
    <x v="50"/>
    <n v="14.2"/>
    <n v="91"/>
    <n v="633"/>
    <n v="5910.89"/>
    <s v="Female"/>
    <n v="31"/>
    <n v="23"/>
    <n v="82"/>
    <n v="10"/>
    <s v="Carrier A"/>
    <n v="6.25"/>
    <s v="Supplier 2"/>
    <s v="Delhi"/>
    <n v="20"/>
    <n v="306"/>
    <n v="21"/>
    <n v="45.18"/>
    <s v="Fail"/>
    <x v="3"/>
    <s v="Rail"/>
    <s v="Route B"/>
    <n v="496.25"/>
    <n v="13.250994347917102"/>
    <s v="normal"/>
    <n v="5.949834726813144"/>
    <n v="14.571428571428571"/>
    <n v="6.7729083665338647"/>
  </r>
  <r>
    <s v="haircare"/>
    <x v="51"/>
    <n v="26.7"/>
    <n v="61"/>
    <n v="154"/>
    <n v="9866.4699999999993"/>
    <s v="Male"/>
    <n v="100"/>
    <n v="4"/>
    <n v="52"/>
    <n v="1"/>
    <s v="Carrier A"/>
    <n v="4.78"/>
    <s v="Supplier 5"/>
    <s v="Bangalore"/>
    <n v="18"/>
    <n v="673"/>
    <n v="28"/>
    <n v="14.19"/>
    <s v="Pending"/>
    <x v="47"/>
    <s v="Road"/>
    <s v="Route A"/>
    <n v="694.98"/>
    <n v="3.2237806154490265"/>
    <s v="normal"/>
    <n v="35.477069056404851"/>
    <n v="24.035714285714285"/>
    <n v="47.427766032417196"/>
  </r>
  <r>
    <s v="skincare"/>
    <x v="52"/>
    <n v="98.03"/>
    <n v="1"/>
    <n v="820"/>
    <n v="9435.76"/>
    <s v="Male"/>
    <n v="64"/>
    <n v="11"/>
    <n v="11"/>
    <n v="1"/>
    <s v="Carrier B"/>
    <n v="8.6300000000000008"/>
    <s v="Supplier 1"/>
    <s v="Mumbai"/>
    <n v="10"/>
    <n v="727"/>
    <n v="27"/>
    <n v="9.17"/>
    <s v="Pending"/>
    <x v="24"/>
    <s v="Air"/>
    <s v="Route C"/>
    <n v="602.9"/>
    <n v="17.165585095248062"/>
    <s v="normal"/>
    <n v="40.842696629213485"/>
    <n v="26.925925925925927"/>
    <n v="79.280261723009815"/>
  </r>
  <r>
    <s v="skincare"/>
    <x v="53"/>
    <n v="30.34"/>
    <n v="93"/>
    <n v="242"/>
    <n v="8232.33"/>
    <s v="Male"/>
    <n v="96"/>
    <n v="25"/>
    <n v="54"/>
    <n v="3"/>
    <s v="Carrier B"/>
    <n v="1.01"/>
    <s v="Supplier 1"/>
    <s v="Delhi"/>
    <n v="1"/>
    <n v="631"/>
    <n v="17"/>
    <n v="83.34"/>
    <s v="Pending"/>
    <x v="48"/>
    <s v="Air"/>
    <s v="Route B"/>
    <n v="750.74"/>
    <n v="5.0659409671341846"/>
    <s v="normal"/>
    <n v="7.4807350326022517"/>
    <n v="37.117647058823529"/>
    <n v="7.571394288456923"/>
  </r>
  <r>
    <s v="haircare"/>
    <x v="54"/>
    <n v="31.15"/>
    <n v="11"/>
    <n v="622"/>
    <n v="6088.02"/>
    <s v="Non-binary"/>
    <n v="33"/>
    <n v="22"/>
    <n v="61"/>
    <n v="3"/>
    <s v="Carrier B"/>
    <n v="4.3099999999999996"/>
    <s v="Supplier 1"/>
    <s v="Kolkata"/>
    <n v="26"/>
    <n v="497"/>
    <n v="29"/>
    <n v="30.19"/>
    <s v="Pass"/>
    <x v="49"/>
    <s v="Road"/>
    <s v="Route B"/>
    <n v="814.07"/>
    <n v="13.020724303956458"/>
    <s v="normal"/>
    <n v="14.405797101449275"/>
    <n v="17.137931034482758"/>
    <n v="16.46240476979132"/>
  </r>
  <r>
    <s v="haircare"/>
    <x v="55"/>
    <n v="79.86"/>
    <n v="16"/>
    <n v="701"/>
    <n v="2925.68"/>
    <s v="Male"/>
    <n v="97"/>
    <n v="11"/>
    <n v="11"/>
    <n v="5"/>
    <s v="Carrier A"/>
    <n v="5.01"/>
    <s v="Supplier 2"/>
    <s v="Delhi"/>
    <n v="27"/>
    <n v="918"/>
    <n v="5"/>
    <n v="30.32"/>
    <s v="Fail"/>
    <x v="50"/>
    <s v="Sea"/>
    <s v="Route B"/>
    <n v="323.01"/>
    <n v="14.674481892401088"/>
    <s v="normal"/>
    <n v="25.983583356920466"/>
    <n v="183.6"/>
    <n v="30.277044854881265"/>
  </r>
  <r>
    <s v="skincare"/>
    <x v="56"/>
    <n v="20.99"/>
    <n v="90"/>
    <n v="93"/>
    <n v="4767.0200000000004"/>
    <s v="Non-binary"/>
    <n v="25"/>
    <n v="23"/>
    <n v="83"/>
    <n v="5"/>
    <s v="Carrier C"/>
    <n v="1.77"/>
    <s v="Supplier 1"/>
    <s v="Mumbai"/>
    <n v="24"/>
    <n v="826"/>
    <n v="28"/>
    <n v="12.84"/>
    <s v="Pass"/>
    <x v="51"/>
    <s v="Air"/>
    <s v="Route B"/>
    <n v="832.21"/>
    <n v="1.946828553485451"/>
    <s v="normal"/>
    <n v="56.536618754277896"/>
    <n v="29.5"/>
    <n v="64.330218068535828"/>
  </r>
  <r>
    <s v="haircare"/>
    <x v="57"/>
    <n v="49.26"/>
    <n v="65"/>
    <n v="227"/>
    <n v="1605.87"/>
    <s v="Unknown"/>
    <n v="5"/>
    <n v="18"/>
    <n v="51"/>
    <n v="1"/>
    <s v="Carrier B"/>
    <n v="9.16"/>
    <s v="Supplier 2"/>
    <s v="Delhi"/>
    <n v="21"/>
    <n v="588"/>
    <n v="25"/>
    <n v="67.78"/>
    <s v="Pending"/>
    <x v="52"/>
    <s v="Rail"/>
    <s v="Route A"/>
    <n v="482.19"/>
    <n v="4.7519363617333052"/>
    <s v="normal"/>
    <n v="7.6423186898882252"/>
    <n v="23.52"/>
    <n v="8.6751254057244029"/>
  </r>
  <r>
    <s v="skincare"/>
    <x v="58"/>
    <n v="59.84"/>
    <n v="81"/>
    <n v="896"/>
    <n v="2021.15"/>
    <s v="Non-binary"/>
    <n v="10"/>
    <n v="5"/>
    <n v="44"/>
    <n v="7"/>
    <s v="Carrier A"/>
    <n v="4.9400000000000004"/>
    <s v="Supplier 3"/>
    <s v="Delhi"/>
    <n v="18"/>
    <n v="396"/>
    <n v="7"/>
    <n v="65.05"/>
    <s v="Fail"/>
    <x v="10"/>
    <s v="Road"/>
    <s v="Route B"/>
    <n v="110.36"/>
    <n v="18.756541762612517"/>
    <s v="normal"/>
    <n v="5.6579511358765542"/>
    <n v="56.571428571428569"/>
    <n v="6.0876249039200614"/>
  </r>
  <r>
    <s v="cosmetics"/>
    <x v="59"/>
    <n v="63.83"/>
    <n v="30"/>
    <n v="484"/>
    <n v="1061.6199999999999"/>
    <s v="Non-binary"/>
    <n v="100"/>
    <n v="16"/>
    <n v="26"/>
    <n v="7"/>
    <s v="Carrier B"/>
    <n v="7.29"/>
    <s v="Supplier 1"/>
    <s v="Kolkata"/>
    <n v="11"/>
    <n v="176"/>
    <n v="4"/>
    <n v="1.9"/>
    <s v="Fail"/>
    <x v="53"/>
    <s v="Air"/>
    <s v="Route A"/>
    <n v="312.57"/>
    <n v="10.131881934268369"/>
    <s v="normal"/>
    <n v="19.151251360174104"/>
    <n v="44"/>
    <n v="92.631578947368425"/>
  </r>
  <r>
    <s v="skincare"/>
    <x v="60"/>
    <n v="17.03"/>
    <n v="16"/>
    <n v="380"/>
    <n v="8864.08"/>
    <s v="Female"/>
    <n v="41"/>
    <n v="27"/>
    <n v="72"/>
    <n v="8"/>
    <s v="Carrier C"/>
    <n v="4.38"/>
    <s v="Supplier 4"/>
    <s v="Mumbai"/>
    <n v="29"/>
    <n v="929"/>
    <n v="24"/>
    <n v="87.21"/>
    <s v="Fail"/>
    <x v="54"/>
    <s v="Rail"/>
    <s v="Route A"/>
    <n v="430.17"/>
    <n v="7.9547833368222731"/>
    <s v="normal"/>
    <n v="10.143028714925212"/>
    <n v="38.708333333333336"/>
    <n v="10.652448113748424"/>
  </r>
  <r>
    <s v="haircare"/>
    <x v="61"/>
    <n v="52.03"/>
    <n v="23"/>
    <n v="117"/>
    <n v="6885.59"/>
    <s v="Unknown"/>
    <n v="32"/>
    <n v="23"/>
    <n v="36"/>
    <n v="7"/>
    <s v="Carrier C"/>
    <n v="9.0299999999999994"/>
    <s v="Supplier 4"/>
    <s v="Kolkata"/>
    <n v="14"/>
    <n v="480"/>
    <n v="12"/>
    <n v="78.7"/>
    <s v="Fail"/>
    <x v="55"/>
    <s v="Air"/>
    <s v="Route A"/>
    <n v="164.37"/>
    <n v="2.4492359221268578"/>
    <s v="normal"/>
    <n v="5.4713324974353128"/>
    <n v="40"/>
    <n v="6.099110546378653"/>
  </r>
  <r>
    <s v="cosmetics"/>
    <x v="62"/>
    <n v="72.8"/>
    <n v="89"/>
    <n v="270"/>
    <n v="3899.75"/>
    <s v="Unknown"/>
    <n v="86"/>
    <n v="2"/>
    <n v="40"/>
    <n v="7"/>
    <s v="Carrier C"/>
    <n v="7.29"/>
    <s v="Supplier 2"/>
    <s v="Mumbai"/>
    <n v="13"/>
    <n v="751"/>
    <n v="14"/>
    <n v="21.05"/>
    <s v="Pass"/>
    <x v="56"/>
    <s v="Sea"/>
    <s v="Route C"/>
    <n v="320.85000000000002"/>
    <n v="5.6520828972158252"/>
    <s v="normal"/>
    <n v="26.499647141848978"/>
    <n v="53.642857142857146"/>
    <n v="35.676959619952491"/>
  </r>
  <r>
    <s v="skincare"/>
    <x v="63"/>
    <n v="13.02"/>
    <n v="55"/>
    <n v="246"/>
    <n v="4256.95"/>
    <s v="Non-binary"/>
    <n v="54"/>
    <n v="19"/>
    <n v="10"/>
    <n v="4"/>
    <s v="Carrier A"/>
    <n v="2.46"/>
    <s v="Supplier 3"/>
    <s v="Bangalore"/>
    <n v="18"/>
    <n v="736"/>
    <n v="10"/>
    <n v="20.079999999999998"/>
    <s v="Pending"/>
    <x v="57"/>
    <s v="Sea"/>
    <s v="Route A"/>
    <n v="687.29"/>
    <n v="5.1496755285744191"/>
    <s v="normal"/>
    <n v="32.653061224489797"/>
    <n v="73.599999999999994"/>
    <n v="36.65338645418327"/>
  </r>
  <r>
    <s v="skincare"/>
    <x v="64"/>
    <n v="89.63"/>
    <n v="11"/>
    <n v="134"/>
    <n v="8458.73"/>
    <s v="Female"/>
    <n v="73"/>
    <n v="27"/>
    <n v="75"/>
    <n v="6"/>
    <s v="Carrier C"/>
    <n v="4.59"/>
    <s v="Supplier 1"/>
    <s v="Delhi"/>
    <n v="17"/>
    <n v="328"/>
    <n v="6"/>
    <n v="8.69"/>
    <s v="Fail"/>
    <x v="58"/>
    <s v="Air"/>
    <s v="Route C"/>
    <n v="771.23"/>
    <n v="2.805107808247854"/>
    <s v="normal"/>
    <n v="24.698795180722893"/>
    <n v="54.666666666666664"/>
    <n v="37.744533947065598"/>
  </r>
  <r>
    <s v="skincare"/>
    <x v="65"/>
    <n v="33.700000000000003"/>
    <n v="72"/>
    <n v="457"/>
    <n v="8354.58"/>
    <s v="Male"/>
    <n v="57"/>
    <n v="24"/>
    <n v="54"/>
    <n v="8"/>
    <s v="Carrier C"/>
    <n v="6.58"/>
    <s v="Supplier 5"/>
    <s v="Kolkata"/>
    <n v="16"/>
    <n v="358"/>
    <n v="21"/>
    <n v="1.6"/>
    <s v="Fail"/>
    <x v="59"/>
    <s v="Rail"/>
    <s v="Route C"/>
    <n v="555.86"/>
    <n v="9.5666736445467855"/>
    <s v="normal"/>
    <n v="43.765281173594133"/>
    <n v="17.047619047619047"/>
    <n v="223.75"/>
  </r>
  <r>
    <s v="skincare"/>
    <x v="66"/>
    <n v="26.03"/>
    <n v="52"/>
    <n v="704"/>
    <n v="8367.7199999999993"/>
    <s v="Female"/>
    <n v="13"/>
    <n v="17"/>
    <n v="19"/>
    <n v="8"/>
    <s v="Carrier A"/>
    <n v="2.2200000000000002"/>
    <s v="Supplier 5"/>
    <s v="Kolkata"/>
    <n v="24"/>
    <n v="867"/>
    <n v="28"/>
    <n v="42.08"/>
    <s v="Fail"/>
    <x v="60"/>
    <s v="Road"/>
    <s v="Route A"/>
    <n v="393.84"/>
    <n v="14.737282813481263"/>
    <s v="normal"/>
    <n v="19.571106094808126"/>
    <n v="30.964285714285715"/>
    <n v="20.60361216730038"/>
  </r>
  <r>
    <s v="skincare"/>
    <x v="67"/>
    <n v="87.76"/>
    <n v="16"/>
    <n v="513"/>
    <n v="9473.7999999999993"/>
    <s v="Unknown"/>
    <n v="12"/>
    <n v="9"/>
    <n v="71"/>
    <n v="9"/>
    <s v="Carrier C"/>
    <n v="9.15"/>
    <s v="Supplier 1"/>
    <s v="Mumbai"/>
    <n v="10"/>
    <n v="198"/>
    <n v="11"/>
    <n v="7.06"/>
    <s v="Pass"/>
    <x v="61"/>
    <s v="Sea"/>
    <s v="Route C"/>
    <n v="169.27"/>
    <n v="10.738957504710068"/>
    <s v="normal"/>
    <n v="12.214682294879703"/>
    <n v="18"/>
    <n v="28.04532577903683"/>
  </r>
  <r>
    <s v="haircare"/>
    <x v="68"/>
    <n v="37.93"/>
    <n v="29"/>
    <n v="163"/>
    <n v="3550.22"/>
    <s v="Non-binary"/>
    <n v="0"/>
    <n v="8"/>
    <n v="58"/>
    <n v="8"/>
    <s v="Carrier B"/>
    <n v="1.19"/>
    <s v="Supplier 2"/>
    <s v="Bangalore"/>
    <n v="2"/>
    <n v="375"/>
    <n v="18"/>
    <n v="97.11"/>
    <s v="Fail"/>
    <x v="62"/>
    <s v="Rail"/>
    <s v="Route A"/>
    <n v="299.70999999999998"/>
    <n v="3.4121833786895537"/>
    <s v="normal"/>
    <n v="3.8148524923702953"/>
    <n v="20.833333333333332"/>
    <n v="3.861600247142416"/>
  </r>
  <r>
    <s v="skincare"/>
    <x v="69"/>
    <n v="54.87"/>
    <n v="62"/>
    <n v="511"/>
    <n v="1752.38"/>
    <s v="Non-binary"/>
    <n v="95"/>
    <n v="1"/>
    <n v="27"/>
    <n v="3"/>
    <s v="Carrier B"/>
    <n v="9.7100000000000009"/>
    <s v="Supplier 4"/>
    <s v="Kolkata"/>
    <n v="9"/>
    <n v="862"/>
    <n v="7"/>
    <n v="77.63"/>
    <s v="Pending"/>
    <x v="63"/>
    <s v="Air"/>
    <s v="Route A"/>
    <n v="207.66"/>
    <n v="10.697090223989951"/>
    <s v="normal"/>
    <n v="9.8694756125486602"/>
    <n v="123.14285714285714"/>
    <n v="11.103954656704882"/>
  </r>
  <r>
    <s v="haircare"/>
    <x v="70"/>
    <n v="47.91"/>
    <n v="90"/>
    <n v="32"/>
    <n v="7014.89"/>
    <s v="Female"/>
    <n v="10"/>
    <n v="12"/>
    <n v="22"/>
    <n v="4"/>
    <s v="Carrier B"/>
    <n v="6.32"/>
    <s v="Supplier 1"/>
    <s v="Bangalore"/>
    <n v="22"/>
    <n v="775"/>
    <n v="16"/>
    <n v="11.44"/>
    <s v="Pass"/>
    <x v="64"/>
    <s v="Road"/>
    <s v="Route C"/>
    <n v="183.27"/>
    <n v="0.66987649152187556"/>
    <s v="normal"/>
    <n v="43.637387387387392"/>
    <n v="48.4375"/>
    <n v="67.744755244755254"/>
  </r>
  <r>
    <s v="cosmetics"/>
    <x v="71"/>
    <n v="6.38"/>
    <n v="14"/>
    <n v="637"/>
    <n v="8180.34"/>
    <s v="Female"/>
    <n v="76"/>
    <n v="2"/>
    <n v="26"/>
    <n v="6"/>
    <s v="Carrier A"/>
    <n v="9.23"/>
    <s v="Supplier 2"/>
    <s v="Bangalore"/>
    <n v="2"/>
    <n v="258"/>
    <n v="10"/>
    <n v="30.66"/>
    <s v="Pending"/>
    <x v="65"/>
    <s v="Road"/>
    <s v="Route A"/>
    <n v="405.17"/>
    <n v="13.334728909357336"/>
    <s v="normal"/>
    <n v="6.4677864126347453"/>
    <n v="25.8"/>
    <n v="8.4148727984344429"/>
  </r>
  <r>
    <s v="cosmetics"/>
    <x v="72"/>
    <n v="90.2"/>
    <n v="88"/>
    <n v="478"/>
    <n v="2633.12"/>
    <s v="Non-binary"/>
    <n v="57"/>
    <n v="29"/>
    <n v="77"/>
    <n v="9"/>
    <s v="Carrier A"/>
    <n v="6.6"/>
    <s v="Supplier 1"/>
    <s v="Bangalore"/>
    <n v="21"/>
    <n v="152"/>
    <n v="11"/>
    <n v="55.76"/>
    <s v="Pending"/>
    <x v="66"/>
    <s v="Rail"/>
    <s v="Route B"/>
    <n v="677.94"/>
    <n v="10.006280092108017"/>
    <s v="normal"/>
    <n v="2.4374599101988452"/>
    <n v="13.818181818181818"/>
    <n v="2.7259684361549499"/>
  </r>
  <r>
    <s v="cosmetics"/>
    <x v="73"/>
    <n v="83.85"/>
    <n v="41"/>
    <n v="375"/>
    <n v="7910.89"/>
    <s v="Male"/>
    <n v="17"/>
    <n v="25"/>
    <n v="66"/>
    <n v="5"/>
    <s v="Carrier B"/>
    <n v="1.51"/>
    <s v="Supplier 4"/>
    <s v="Chennai"/>
    <n v="13"/>
    <n v="444"/>
    <n v="4"/>
    <n v="46.87"/>
    <s v="Fail"/>
    <x v="67"/>
    <s v="Road"/>
    <s v="Route A"/>
    <n v="866.47"/>
    <n v="7.85011513502198"/>
    <s v="normal"/>
    <n v="9.1773460107482432"/>
    <n v="111"/>
    <n v="9.4730104544484757"/>
  </r>
  <r>
    <s v="haircare"/>
    <x v="74"/>
    <n v="3.17"/>
    <n v="64"/>
    <n v="904"/>
    <n v="5709.95"/>
    <s v="Female"/>
    <n v="41"/>
    <n v="6"/>
    <n v="1"/>
    <n v="5"/>
    <s v="Carrier A"/>
    <n v="5.24"/>
    <s v="Supplier 4"/>
    <s v="Delhi"/>
    <n v="1"/>
    <n v="919"/>
    <n v="9"/>
    <n v="80.58"/>
    <s v="Fail"/>
    <x v="7"/>
    <s v="Rail"/>
    <s v="Route A"/>
    <n v="341.55"/>
    <n v="18.924010885492986"/>
    <s v="normal"/>
    <n v="10.708459566534609"/>
    <n v="102.11111111111111"/>
    <n v="11.4048150905932"/>
  </r>
  <r>
    <s v="skincare"/>
    <x v="75"/>
    <n v="93"/>
    <n v="29"/>
    <n v="106"/>
    <n v="1889.07"/>
    <s v="Non-binary"/>
    <n v="16"/>
    <n v="20"/>
    <n v="56"/>
    <n v="10"/>
    <s v="Carrier C"/>
    <n v="2.4700000000000002"/>
    <s v="Supplier 1"/>
    <s v="Chennai"/>
    <n v="25"/>
    <n v="759"/>
    <n v="11"/>
    <n v="48.06"/>
    <s v="Pass"/>
    <x v="68"/>
    <s v="Air"/>
    <s v="Route C"/>
    <n v="873.13"/>
    <n v="2.2189658781662129"/>
    <s v="normal"/>
    <n v="15.020779734811002"/>
    <n v="69"/>
    <n v="15.792759051186017"/>
  </r>
  <r>
    <s v="haircare"/>
    <x v="76"/>
    <n v="69.11"/>
    <n v="23"/>
    <n v="241"/>
    <n v="5328.38"/>
    <s v="Male"/>
    <n v="38"/>
    <n v="1"/>
    <n v="22"/>
    <n v="10"/>
    <s v="Carrier A"/>
    <n v="7.05"/>
    <s v="Supplier 2"/>
    <s v="Bangalore"/>
    <n v="25"/>
    <n v="985"/>
    <n v="24"/>
    <n v="64.319999999999993"/>
    <s v="Pending"/>
    <x v="69"/>
    <s v="Rail"/>
    <s v="Route A"/>
    <n v="997.41"/>
    <n v="5.045007326774126"/>
    <s v="normal"/>
    <n v="13.801317080005607"/>
    <n v="41.041666666666664"/>
    <n v="15.314054726368161"/>
  </r>
  <r>
    <s v="haircare"/>
    <x v="77"/>
    <n v="57.45"/>
    <n v="14"/>
    <n v="359"/>
    <n v="2483.7600000000002"/>
    <s v="Unknown"/>
    <n v="96"/>
    <n v="28"/>
    <n v="57"/>
    <n v="4"/>
    <s v="Carrier B"/>
    <n v="6.78"/>
    <s v="Supplier 1"/>
    <s v="Kolkata"/>
    <n v="26"/>
    <n v="334"/>
    <n v="5"/>
    <n v="42.95"/>
    <s v="Pass"/>
    <x v="70"/>
    <s v="Road"/>
    <s v="Route B"/>
    <n v="852.57"/>
    <n v="7.515176889261042"/>
    <s v="normal"/>
    <n v="6.7162678463703998"/>
    <n v="66.8"/>
    <n v="7.7764842840512216"/>
  </r>
  <r>
    <s v="haircare"/>
    <x v="78"/>
    <n v="6.31"/>
    <n v="50"/>
    <n v="946"/>
    <n v="1292.46"/>
    <s v="Unknown"/>
    <n v="5"/>
    <n v="4"/>
    <n v="51"/>
    <n v="5"/>
    <s v="Carrier B"/>
    <n v="8.4700000000000006"/>
    <s v="Supplier 5"/>
    <s v="Mumbai"/>
    <n v="25"/>
    <n v="858"/>
    <n v="21"/>
    <n v="71.13"/>
    <s v="Pending"/>
    <x v="71"/>
    <s v="Sea"/>
    <s v="Route C"/>
    <n v="323.58999999999997"/>
    <n v="19.803223780615447"/>
    <s v="normal"/>
    <n v="10.778894472361809"/>
    <n v="40.857142857142854"/>
    <n v="12.062420919443273"/>
  </r>
  <r>
    <s v="haircare"/>
    <x v="79"/>
    <n v="57.06"/>
    <n v="56"/>
    <n v="198"/>
    <n v="7888.72"/>
    <s v="Non-binary"/>
    <n v="31"/>
    <n v="25"/>
    <n v="20"/>
    <n v="1"/>
    <s v="Carrier B"/>
    <n v="6.5"/>
    <s v="Supplier 3"/>
    <s v="Bangalore"/>
    <n v="5"/>
    <n v="228"/>
    <n v="12"/>
    <n v="57.87"/>
    <s v="Pending"/>
    <x v="72"/>
    <s v="Air"/>
    <s v="Route C"/>
    <n v="351.5"/>
    <n v="4.1448607912916051"/>
    <s v="normal"/>
    <n v="3.5420226813733104"/>
    <n v="19"/>
    <n v="3.939865215137377"/>
  </r>
  <r>
    <s v="skincare"/>
    <x v="80"/>
    <n v="91.13"/>
    <n v="75"/>
    <n v="872"/>
    <n v="8651.67"/>
    <s v="Unknown"/>
    <n v="39"/>
    <n v="14"/>
    <n v="41"/>
    <n v="2"/>
    <s v="Carrier C"/>
    <n v="2.83"/>
    <s v="Supplier 3"/>
    <s v="Chennai"/>
    <n v="8"/>
    <n v="202"/>
    <n v="5"/>
    <n v="76.959999999999994"/>
    <s v="Fail"/>
    <x v="54"/>
    <s v="Sea"/>
    <s v="Route B"/>
    <n v="787.78"/>
    <n v="18.25413439397111"/>
    <s v="normal"/>
    <n v="2.5316455696202533"/>
    <n v="40.4"/>
    <n v="2.624740124740125"/>
  </r>
  <r>
    <s v="haircare"/>
    <x v="81"/>
    <n v="72.819999999999993"/>
    <n v="9"/>
    <n v="774"/>
    <n v="4384.41"/>
    <s v="Unknown"/>
    <n v="48"/>
    <n v="6"/>
    <n v="8"/>
    <n v="5"/>
    <s v="Carrier B"/>
    <n v="4.07"/>
    <s v="Supplier 3"/>
    <s v="Delhi"/>
    <n v="28"/>
    <n v="698"/>
    <n v="1"/>
    <n v="19.79"/>
    <s v="Pending"/>
    <x v="73"/>
    <s v="Rail"/>
    <s v="Route B"/>
    <n v="276.77999999999997"/>
    <n v="16.202637638685367"/>
    <s v="normal"/>
    <n v="29.253981559094719"/>
    <n v="698"/>
    <n v="35.27033855482567"/>
  </r>
  <r>
    <s v="skincare"/>
    <x v="82"/>
    <n v="17.03"/>
    <n v="13"/>
    <n v="336"/>
    <n v="2943.38"/>
    <s v="Unknown"/>
    <n v="42"/>
    <n v="19"/>
    <n v="72"/>
    <n v="1"/>
    <s v="Carrier A"/>
    <n v="4.71"/>
    <s v="Supplier 2"/>
    <s v="Mumbai"/>
    <n v="6"/>
    <n v="955"/>
    <n v="26"/>
    <n v="4.47"/>
    <s v="Pending"/>
    <x v="74"/>
    <s v="Road"/>
    <s v="Route C"/>
    <n v="589.98"/>
    <n v="7.0337031609796936"/>
    <s v="normal"/>
    <n v="104.03050108932462"/>
    <n v="36.730769230769234"/>
    <n v="213.64653243847877"/>
  </r>
  <r>
    <s v="haircare"/>
    <x v="83"/>
    <n v="68.91"/>
    <n v="82"/>
    <n v="663"/>
    <n v="2411.75"/>
    <s v="Unknown"/>
    <n v="65"/>
    <n v="24"/>
    <n v="7"/>
    <n v="8"/>
    <s v="Carrier B"/>
    <n v="4.95"/>
    <s v="Supplier 1"/>
    <s v="Bangalore"/>
    <n v="20"/>
    <n v="443"/>
    <n v="5"/>
    <n v="97.73"/>
    <s v="Fail"/>
    <x v="75"/>
    <s v="Road"/>
    <s v="Route A"/>
    <n v="682.97"/>
    <n v="13.87900355871886"/>
    <s v="normal"/>
    <n v="4.314374756525126"/>
    <n v="88.6"/>
    <n v="4.5328967563695892"/>
  </r>
  <r>
    <s v="haircare"/>
    <x v="84"/>
    <n v="89.1"/>
    <n v="99"/>
    <n v="618"/>
    <n v="2048.29"/>
    <s v="Unknown"/>
    <n v="73"/>
    <n v="26"/>
    <n v="80"/>
    <n v="10"/>
    <s v="Carrier A"/>
    <n v="8.3800000000000008"/>
    <s v="Supplier 5"/>
    <s v="Chennai"/>
    <n v="24"/>
    <n v="589"/>
    <n v="22"/>
    <n v="33.81"/>
    <s v="Pass"/>
    <x v="76"/>
    <s v="Air"/>
    <s v="Route B"/>
    <n v="465.46"/>
    <n v="12.936989742516223"/>
    <s v="normal"/>
    <n v="13.960654183455794"/>
    <n v="26.772727272727273"/>
    <n v="17.420881396036673"/>
  </r>
  <r>
    <s v="cosmetics"/>
    <x v="85"/>
    <n v="76.959999999999994"/>
    <n v="83"/>
    <n v="25"/>
    <n v="8684.61"/>
    <s v="Female"/>
    <n v="15"/>
    <n v="18"/>
    <n v="66"/>
    <n v="2"/>
    <s v="Carrier C"/>
    <n v="8.25"/>
    <s v="Supplier 5"/>
    <s v="Chennai"/>
    <n v="4"/>
    <n v="211"/>
    <n v="2"/>
    <n v="69.930000000000007"/>
    <s v="Fail"/>
    <x v="77"/>
    <s v="Road"/>
    <s v="Route B"/>
    <n v="842.69"/>
    <n v="0.5233410090014653"/>
    <s v="normal"/>
    <n v="2.6988999744180093"/>
    <n v="105.5"/>
    <n v="3.0173030173030169"/>
  </r>
  <r>
    <s v="skincare"/>
    <x v="86"/>
    <n v="20"/>
    <n v="18"/>
    <n v="223"/>
    <n v="1229.5899999999999"/>
    <s v="Unknown"/>
    <n v="32"/>
    <n v="14"/>
    <n v="22"/>
    <n v="6"/>
    <s v="Carrier B"/>
    <n v="1.45"/>
    <s v="Supplier 1"/>
    <s v="Mumbai"/>
    <n v="4"/>
    <n v="569"/>
    <n v="18"/>
    <n v="74.61"/>
    <s v="Pass"/>
    <x v="78"/>
    <s v="Rail"/>
    <s v="Route A"/>
    <n v="264.25"/>
    <n v="4.6682018002930707"/>
    <s v="normal"/>
    <n v="7.4809361030765187"/>
    <n v="31.611111111111111"/>
    <n v="7.6263235491221018"/>
  </r>
  <r>
    <s v="haircare"/>
    <x v="87"/>
    <n v="80.41"/>
    <n v="24"/>
    <n v="79"/>
    <n v="5133.8500000000004"/>
    <s v="Male"/>
    <n v="5"/>
    <n v="7"/>
    <n v="55"/>
    <n v="10"/>
    <s v="Carrier A"/>
    <n v="6.58"/>
    <s v="Supplier 3"/>
    <s v="Chennai"/>
    <n v="27"/>
    <n v="523"/>
    <n v="17"/>
    <n v="28.7"/>
    <s v="Fail"/>
    <x v="22"/>
    <s v="Sea"/>
    <s v="Route B"/>
    <n v="879.36"/>
    <n v="1.6537575884446305"/>
    <s v="normal"/>
    <n v="14.824263038548752"/>
    <n v="30.764705882352942"/>
    <n v="18.222996515679444"/>
  </r>
  <r>
    <s v="cosmetics"/>
    <x v="88"/>
    <n v="75.27"/>
    <n v="58"/>
    <n v="737"/>
    <n v="9444.74"/>
    <s v="Male"/>
    <n v="60"/>
    <n v="18"/>
    <n v="85"/>
    <n v="7"/>
    <s v="Carrier A"/>
    <n v="3.8"/>
    <s v="Supplier 2"/>
    <s v="Mumbai"/>
    <n v="21"/>
    <n v="953"/>
    <n v="11"/>
    <n v="68.180000000000007"/>
    <s v="Pending"/>
    <x v="79"/>
    <s v="Sea"/>
    <s v="Route A"/>
    <n v="103.92"/>
    <n v="15.428092945363197"/>
    <s v="normal"/>
    <n v="13.239788830230619"/>
    <n v="86.63636363636364"/>
    <n v="13.977706072161922"/>
  </r>
  <r>
    <s v="cosmetics"/>
    <x v="89"/>
    <n v="97.76"/>
    <n v="10"/>
    <n v="134"/>
    <n v="5924.68"/>
    <s v="Unknown"/>
    <n v="90"/>
    <n v="1"/>
    <n v="27"/>
    <n v="8"/>
    <s v="Carrier B"/>
    <n v="9.93"/>
    <s v="Supplier 1"/>
    <s v="Kolkata"/>
    <n v="23"/>
    <n v="370"/>
    <n v="11"/>
    <n v="46.6"/>
    <s v="Pending"/>
    <x v="80"/>
    <s v="Rail"/>
    <s v="Route B"/>
    <n v="517.5"/>
    <n v="2.805107808247854"/>
    <s v="normal"/>
    <n v="6.5451972404033256"/>
    <n v="33.636363636363633"/>
    <n v="7.9399141630901289"/>
  </r>
  <r>
    <s v="skincare"/>
    <x v="90"/>
    <n v="13.88"/>
    <n v="56"/>
    <n v="320"/>
    <n v="9592.6299999999992"/>
    <s v="Non-binary"/>
    <n v="66"/>
    <n v="18"/>
    <n v="96"/>
    <n v="7"/>
    <s v="Carrier B"/>
    <n v="7.67"/>
    <s v="Supplier 3"/>
    <s v="Bangalore"/>
    <n v="8"/>
    <n v="585"/>
    <n v="8"/>
    <n v="85.68"/>
    <s v="Pass"/>
    <x v="81"/>
    <s v="Rail"/>
    <s v="Route B"/>
    <n v="990.08"/>
    <n v="6.6987649152187565"/>
    <s v="normal"/>
    <n v="6.2667380824852703"/>
    <n v="73.125"/>
    <n v="6.8277310924369745"/>
  </r>
  <r>
    <s v="cosmetics"/>
    <x v="91"/>
    <n v="62.11"/>
    <n v="90"/>
    <n v="916"/>
    <n v="1935.21"/>
    <s v="Male"/>
    <n v="98"/>
    <n v="22"/>
    <n v="85"/>
    <n v="7"/>
    <s v="Carrier B"/>
    <n v="7.47"/>
    <s v="Supplier 4"/>
    <s v="Delhi"/>
    <n v="5"/>
    <n v="207"/>
    <n v="28"/>
    <n v="39.770000000000003"/>
    <s v="Pending"/>
    <x v="82"/>
    <s v="Rail"/>
    <s v="Route B"/>
    <n v="996.78"/>
    <n v="19.17521456981369"/>
    <s v="normal"/>
    <n v="4.3818797629127859"/>
    <n v="7.3928571428571432"/>
    <n v="5.2049283379431728"/>
  </r>
  <r>
    <s v="cosmetics"/>
    <x v="92"/>
    <n v="47.71"/>
    <n v="44"/>
    <n v="276"/>
    <n v="2100.13"/>
    <s v="Male"/>
    <n v="90"/>
    <n v="25"/>
    <n v="10"/>
    <n v="8"/>
    <s v="Carrier B"/>
    <n v="4.47"/>
    <s v="Supplier 2"/>
    <s v="Mumbai"/>
    <n v="4"/>
    <n v="671"/>
    <n v="29"/>
    <n v="62.61"/>
    <s v="Pass"/>
    <x v="83"/>
    <s v="Rail"/>
    <s v="Route B"/>
    <n v="230.09"/>
    <n v="5.777684739376177"/>
    <s v="normal"/>
    <n v="10.002981514609422"/>
    <n v="23.137931034482758"/>
    <n v="10.717137837406165"/>
  </r>
  <r>
    <s v="haircare"/>
    <x v="93"/>
    <n v="69.290000000000006"/>
    <n v="88"/>
    <n v="114"/>
    <n v="4531.3999999999996"/>
    <s v="Unknown"/>
    <n v="63"/>
    <n v="17"/>
    <n v="66"/>
    <n v="1"/>
    <s v="Carrier C"/>
    <n v="7.01"/>
    <s v="Supplier 4"/>
    <s v="Chennai"/>
    <n v="21"/>
    <n v="824"/>
    <n v="20"/>
    <n v="35.630000000000003"/>
    <s v="Fail"/>
    <x v="84"/>
    <s v="Air"/>
    <s v="Route A"/>
    <n v="823.52"/>
    <n v="2.3864350010466819"/>
    <s v="normal"/>
    <n v="19.324577861163228"/>
    <n v="41.2"/>
    <n v="23.126578725792868"/>
  </r>
  <r>
    <s v="cosmetics"/>
    <x v="94"/>
    <n v="3.04"/>
    <n v="97"/>
    <n v="987"/>
    <n v="7888.36"/>
    <s v="Unknown"/>
    <n v="77"/>
    <n v="26"/>
    <n v="72"/>
    <n v="9"/>
    <s v="Carrier B"/>
    <n v="6.94"/>
    <s v="Supplier 2"/>
    <s v="Delhi"/>
    <n v="12"/>
    <n v="908"/>
    <n v="14"/>
    <n v="60.39"/>
    <s v="Pass"/>
    <x v="85"/>
    <s v="Rail"/>
    <s v="Route B"/>
    <n v="846.67"/>
    <n v="20.661503035377851"/>
    <s v="normal"/>
    <n v="13.485816129511361"/>
    <n v="64.857142857142861"/>
    <n v="15.035601920847823"/>
  </r>
  <r>
    <s v="haircare"/>
    <x v="95"/>
    <n v="77.900000000000006"/>
    <n v="65"/>
    <n v="672"/>
    <n v="7386.36"/>
    <s v="Unknown"/>
    <n v="15"/>
    <n v="14"/>
    <n v="26"/>
    <n v="9"/>
    <s v="Carrier B"/>
    <n v="8.6300000000000008"/>
    <s v="Supplier 4"/>
    <s v="Mumbai"/>
    <n v="18"/>
    <n v="450"/>
    <n v="26"/>
    <n v="58.89"/>
    <s v="Pending"/>
    <x v="86"/>
    <s v="Air"/>
    <s v="Route A"/>
    <n v="778.86"/>
    <n v="14.067406321959387"/>
    <s v="normal"/>
    <n v="6.6646919431279628"/>
    <n v="17.307692307692307"/>
    <n v="7.6413652572592969"/>
  </r>
  <r>
    <s v="cosmetics"/>
    <x v="96"/>
    <n v="24.42"/>
    <n v="29"/>
    <n v="324"/>
    <n v="7698.42"/>
    <s v="Non-binary"/>
    <n v="67"/>
    <n v="2"/>
    <n v="32"/>
    <n v="3"/>
    <s v="Carrier C"/>
    <n v="5.35"/>
    <s v="Supplier 3"/>
    <s v="Mumbai"/>
    <n v="28"/>
    <n v="648"/>
    <n v="28"/>
    <n v="17.8"/>
    <s v="Pending"/>
    <x v="87"/>
    <s v="Road"/>
    <s v="Route A"/>
    <n v="188.74"/>
    <n v="6.7824994766589901"/>
    <s v="normal"/>
    <n v="27.99136069114471"/>
    <n v="23.142857142857142"/>
    <n v="36.40449438202247"/>
  </r>
  <r>
    <s v="haircare"/>
    <x v="97"/>
    <n v="3.53"/>
    <n v="56"/>
    <n v="62"/>
    <n v="4370.92"/>
    <s v="Male"/>
    <n v="46"/>
    <n v="19"/>
    <n v="4"/>
    <n v="9"/>
    <s v="Carrier A"/>
    <n v="7.9"/>
    <s v="Supplier 4"/>
    <s v="Mumbai"/>
    <n v="10"/>
    <n v="535"/>
    <n v="13"/>
    <n v="65.77"/>
    <s v="Fail"/>
    <x v="88"/>
    <s v="Road"/>
    <s v="Route A"/>
    <n v="540.13"/>
    <n v="1.2978857023236341"/>
    <s v="normal"/>
    <n v="7.2621148364327404"/>
    <n v="41.153846153846153"/>
    <n v="8.1344077847042726"/>
  </r>
  <r>
    <s v="skincare"/>
    <x v="98"/>
    <n v="19.75"/>
    <n v="43"/>
    <n v="913"/>
    <n v="8525.9500000000007"/>
    <s v="Female"/>
    <n v="53"/>
    <n v="1"/>
    <n v="27"/>
    <n v="7"/>
    <s v="Carrier B"/>
    <n v="1.41"/>
    <s v="Supplier 5"/>
    <s v="Chennai"/>
    <n v="28"/>
    <n v="581"/>
    <n v="9"/>
    <n v="5.6"/>
    <s v="Pending"/>
    <x v="89"/>
    <s v="Rail"/>
    <s v="Route A"/>
    <n v="882.2"/>
    <n v="19.112413648733515"/>
    <s v="normal"/>
    <n v="82.88159771754637"/>
    <n v="64.555555555555557"/>
    <n v="103.75"/>
  </r>
  <r>
    <s v="haircare"/>
    <x v="99"/>
    <n v="68.52"/>
    <n v="17"/>
    <n v="627"/>
    <n v="9185.19"/>
    <s v="Unknown"/>
    <n v="55"/>
    <n v="8"/>
    <n v="59"/>
    <n v="6"/>
    <s v="Carrier B"/>
    <n v="1.31"/>
    <s v="Supplier 2"/>
    <s v="Chennai"/>
    <n v="29"/>
    <n v="921"/>
    <n v="2"/>
    <n v="38.07"/>
    <s v="Fail"/>
    <x v="90"/>
    <s v="Rail"/>
    <s v="Route B"/>
    <n v="210.74"/>
    <n v="13.12539250575675"/>
    <s v="normal"/>
    <n v="23.387506348400201"/>
    <n v="460.5"/>
    <n v="24.192277383766744"/>
  </r>
  <r>
    <m/>
    <x v="100"/>
    <m/>
    <m/>
    <m/>
    <m/>
    <m/>
    <m/>
    <m/>
    <m/>
    <m/>
    <m/>
    <m/>
    <m/>
    <m/>
    <m/>
    <m/>
    <m/>
    <m/>
    <m/>
    <x v="91"/>
    <m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haircare"/>
    <x v="0"/>
    <n v="69.81"/>
    <n v="55"/>
    <n v="802"/>
    <n v="8662"/>
    <s v="Non-binary"/>
    <n v="58"/>
    <n v="7"/>
    <n v="96"/>
    <n v="4"/>
    <s v="Carrier B"/>
    <n v="2.96"/>
    <x v="0"/>
    <s v="Mumbai"/>
    <n v="29"/>
    <n v="215"/>
    <n v="29"/>
    <n v="46.28"/>
    <s v="Pending"/>
    <n v="0.23"/>
    <x v="0"/>
    <x v="0"/>
    <n v="187.75"/>
    <n v="16.788779568767008"/>
    <s v="normal"/>
    <n v="4.3663688058489027"/>
    <n v="7.4137931034482758"/>
    <n v="4.6456352636127916"/>
  </r>
  <r>
    <s v="skincare"/>
    <x v="1"/>
    <n v="14.84"/>
    <n v="95"/>
    <n v="736"/>
    <n v="7460.9"/>
    <s v="Female"/>
    <n v="53"/>
    <n v="30"/>
    <n v="37"/>
    <n v="2"/>
    <s v="Carrier A"/>
    <n v="9.7200000000000006"/>
    <x v="0"/>
    <s v="Mumbai"/>
    <n v="23"/>
    <n v="517"/>
    <n v="30"/>
    <n v="33.619999999999997"/>
    <s v="Pending"/>
    <n v="4.8499999999999996"/>
    <x v="0"/>
    <x v="0"/>
    <n v="503.07"/>
    <n v="15.407159305003139"/>
    <s v="normal"/>
    <n v="11.928934010152286"/>
    <n v="17.233333333333334"/>
    <n v="15.377751338488995"/>
  </r>
  <r>
    <s v="haircare"/>
    <x v="2"/>
    <n v="11.32"/>
    <n v="34"/>
    <n v="8"/>
    <n v="9577.75"/>
    <s v="Unknown"/>
    <n v="1"/>
    <n v="10"/>
    <n v="88"/>
    <n v="2"/>
    <s v="Carrier B"/>
    <n v="8.0500000000000007"/>
    <x v="1"/>
    <s v="Mumbai"/>
    <n v="12"/>
    <n v="971"/>
    <n v="27"/>
    <n v="30.69"/>
    <s v="Pending"/>
    <n v="4.58"/>
    <x v="1"/>
    <x v="1"/>
    <n v="141.91999999999999"/>
    <n v="0.16746912288046889"/>
    <s v="normal"/>
    <n v="25.064532782653586"/>
    <n v="35.962962962962962"/>
    <n v="31.638970348647767"/>
  </r>
  <r>
    <s v="skincare"/>
    <x v="3"/>
    <n v="61.16"/>
    <n v="68"/>
    <n v="83"/>
    <n v="7766.84"/>
    <s v="Non-binary"/>
    <n v="23"/>
    <n v="13"/>
    <n v="59"/>
    <n v="6"/>
    <s v="Carrier C"/>
    <n v="1.73"/>
    <x v="2"/>
    <s v="Kolkata"/>
    <n v="24"/>
    <n v="937"/>
    <n v="18"/>
    <n v="35.619999999999997"/>
    <s v="Fail"/>
    <n v="4.75"/>
    <x v="2"/>
    <x v="2"/>
    <n v="254.78"/>
    <n v="1.7374921498848648"/>
    <s v="normal"/>
    <n v="25.087014725568945"/>
    <n v="52.055555555555557"/>
    <n v="26.305446378439083"/>
  </r>
  <r>
    <s v="skincare"/>
    <x v="4"/>
    <n v="4.8099999999999996"/>
    <n v="26"/>
    <n v="871"/>
    <n v="2686.51"/>
    <s v="Non-binary"/>
    <n v="5"/>
    <n v="3"/>
    <n v="56"/>
    <n v="8"/>
    <s v="Carrier A"/>
    <n v="3.89"/>
    <x v="1"/>
    <s v="Delhi"/>
    <n v="5"/>
    <n v="414"/>
    <n v="3"/>
    <n v="92.07"/>
    <s v="Fail"/>
    <n v="3.15"/>
    <x v="1"/>
    <x v="2"/>
    <n v="923.44"/>
    <n v="18.233200753611051"/>
    <s v="normal"/>
    <n v="4.3142976240100044"/>
    <n v="138"/>
    <n v="4.4965786901270777"/>
  </r>
  <r>
    <s v="haircare"/>
    <x v="5"/>
    <n v="1.7"/>
    <n v="87"/>
    <n v="147"/>
    <n v="2828.35"/>
    <s v="Non-binary"/>
    <n v="90"/>
    <n v="27"/>
    <n v="66"/>
    <n v="3"/>
    <s v="Carrier B"/>
    <n v="4.4400000000000004"/>
    <x v="3"/>
    <s v="Bangalore"/>
    <n v="10"/>
    <n v="104"/>
    <n v="17"/>
    <n v="56.77"/>
    <s v="Fail"/>
    <n v="2.78"/>
    <x v="0"/>
    <x v="2"/>
    <n v="235.46"/>
    <n v="3.0772451329286161"/>
    <s v="normal"/>
    <n v="1.6990687796111745"/>
    <n v="6.117647058823529"/>
    <n v="1.831953496565087"/>
  </r>
  <r>
    <s v="skincare"/>
    <x v="6"/>
    <n v="4.08"/>
    <n v="48"/>
    <n v="65"/>
    <n v="7823.48"/>
    <s v="Male"/>
    <n v="11"/>
    <n v="15"/>
    <n v="58"/>
    <n v="8"/>
    <s v="Carrier C"/>
    <n v="3.88"/>
    <x v="0"/>
    <s v="Kolkata"/>
    <n v="14"/>
    <n v="314"/>
    <n v="24"/>
    <n v="1.0900000000000001"/>
    <s v="Pending"/>
    <n v="1"/>
    <x v="3"/>
    <x v="2"/>
    <n v="134.37"/>
    <n v="1.3606866234038097"/>
    <s v="normal"/>
    <n v="63.179074446680083"/>
    <n v="13.083333333333334"/>
    <n v="288.0733944954128"/>
  </r>
  <r>
    <s v="cosmetics"/>
    <x v="7"/>
    <n v="42.96"/>
    <n v="59"/>
    <n v="426"/>
    <n v="8496.1"/>
    <s v="Female"/>
    <n v="93"/>
    <n v="17"/>
    <n v="11"/>
    <n v="1"/>
    <s v="Carrier B"/>
    <n v="2.35"/>
    <x v="3"/>
    <s v="Bangalore"/>
    <n v="22"/>
    <n v="564"/>
    <n v="1"/>
    <n v="99.47"/>
    <s v="Fail"/>
    <n v="0.4"/>
    <x v="0"/>
    <x v="1"/>
    <n v="802.06"/>
    <n v="8.917730793384969"/>
    <s v="normal"/>
    <n v="5.5391868002357105"/>
    <n v="564"/>
    <n v="5.6700512717402232"/>
  </r>
  <r>
    <s v="cosmetics"/>
    <x v="8"/>
    <n v="68.72"/>
    <n v="78"/>
    <n v="150"/>
    <n v="7517.36"/>
    <s v="Female"/>
    <n v="5"/>
    <n v="10"/>
    <n v="15"/>
    <n v="7"/>
    <s v="Carrier C"/>
    <n v="3.4"/>
    <x v="3"/>
    <s v="Mumbai"/>
    <n v="13"/>
    <n v="769"/>
    <n v="8"/>
    <n v="11.42"/>
    <s v="Pending"/>
    <n v="2.71"/>
    <x v="3"/>
    <x v="0"/>
    <n v="505.56"/>
    <n v="3.140046054008792"/>
    <s v="normal"/>
    <n v="51.889338731443992"/>
    <n v="96.125"/>
    <n v="67.338003502626975"/>
  </r>
  <r>
    <s v="skincare"/>
    <x v="9"/>
    <n v="64.02"/>
    <n v="35"/>
    <n v="980"/>
    <n v="4971.1499999999996"/>
    <s v="Unknown"/>
    <n v="14"/>
    <n v="27"/>
    <n v="83"/>
    <n v="1"/>
    <s v="Carrier A"/>
    <n v="7.17"/>
    <x v="4"/>
    <s v="Chennai"/>
    <n v="29"/>
    <n v="963"/>
    <n v="23"/>
    <n v="47.96"/>
    <s v="Pending"/>
    <n v="3.84"/>
    <x v="2"/>
    <x v="0"/>
    <n v="995.93"/>
    <n v="20.514967552857442"/>
    <s v="normal"/>
    <n v="17.46780337384364"/>
    <n v="41.869565217391305"/>
    <n v="20.079232693911592"/>
  </r>
  <r>
    <s v="skincare"/>
    <x v="10"/>
    <n v="15.71"/>
    <n v="11"/>
    <n v="996"/>
    <n v="2330.9699999999998"/>
    <s v="Non-binary"/>
    <n v="51"/>
    <n v="13"/>
    <n v="80"/>
    <n v="2"/>
    <s v="Carrier C"/>
    <n v="8.67"/>
    <x v="2"/>
    <s v="Kolkata"/>
    <n v="18"/>
    <n v="830"/>
    <n v="5"/>
    <n v="96.53"/>
    <s v="Pass"/>
    <n v="1.73"/>
    <x v="0"/>
    <x v="0"/>
    <n v="806.1"/>
    <n v="20.84990579861838"/>
    <s v="normal"/>
    <n v="7.8897338403041823"/>
    <n v="166"/>
    <n v="8.5983632031492796"/>
  </r>
  <r>
    <s v="skincare"/>
    <x v="11"/>
    <n v="90.64"/>
    <n v="95"/>
    <n v="960"/>
    <n v="6099.94"/>
    <s v="Female"/>
    <n v="46"/>
    <n v="23"/>
    <n v="60"/>
    <n v="1"/>
    <s v="Carrier A"/>
    <n v="4.5199999999999996"/>
    <x v="4"/>
    <s v="Kolkata"/>
    <n v="28"/>
    <n v="362"/>
    <n v="11"/>
    <n v="27.59"/>
    <s v="Pending"/>
    <n v="0.02"/>
    <x v="1"/>
    <x v="2"/>
    <n v="126.72"/>
    <n v="20.096294745656269"/>
    <s v="normal"/>
    <n v="11.273746496418561"/>
    <n v="32.909090909090907"/>
    <n v="13.120695904313157"/>
  </r>
  <r>
    <s v="haircare"/>
    <x v="12"/>
    <n v="71.209999999999994"/>
    <n v="41"/>
    <n v="336"/>
    <n v="2873.74"/>
    <s v="Unknown"/>
    <n v="100"/>
    <n v="30"/>
    <n v="85"/>
    <n v="4"/>
    <s v="Carrier A"/>
    <n v="1.33"/>
    <x v="3"/>
    <s v="Kolkata"/>
    <n v="3"/>
    <n v="563"/>
    <n v="3"/>
    <n v="32.32"/>
    <s v="Fail"/>
    <n v="2.16"/>
    <x v="0"/>
    <x v="0"/>
    <n v="402.97"/>
    <n v="7.0337031609796936"/>
    <s v="normal"/>
    <n v="16.731054977711739"/>
    <n v="187.66666666666666"/>
    <n v="17.419554455445546"/>
  </r>
  <r>
    <s v="skincare"/>
    <x v="13"/>
    <n v="16.16"/>
    <n v="5"/>
    <n v="249"/>
    <n v="4052.74"/>
    <s v="Male"/>
    <n v="80"/>
    <n v="8"/>
    <n v="48"/>
    <n v="9"/>
    <s v="Carrier A"/>
    <n v="9.5399999999999991"/>
    <x v="2"/>
    <s v="Bangalore"/>
    <n v="23"/>
    <n v="173"/>
    <n v="10"/>
    <n v="97.83"/>
    <s v="Pending"/>
    <n v="1.63"/>
    <x v="0"/>
    <x v="0"/>
    <n v="547.24"/>
    <n v="5.212476449654595"/>
    <s v="normal"/>
    <n v="1.6112508149389959"/>
    <n v="17.3"/>
    <n v="1.7683737094960645"/>
  </r>
  <r>
    <s v="skincare"/>
    <x v="14"/>
    <n v="99.17"/>
    <n v="26"/>
    <n v="562"/>
    <n v="8653.57"/>
    <s v="Non-binary"/>
    <n v="54"/>
    <n v="29"/>
    <n v="78"/>
    <n v="5"/>
    <s v="Carrier B"/>
    <n v="2.04"/>
    <x v="1"/>
    <s v="Kolkata"/>
    <n v="25"/>
    <n v="558"/>
    <n v="14"/>
    <n v="5.79"/>
    <s v="Pending"/>
    <n v="0.1"/>
    <x v="1"/>
    <x v="0"/>
    <n v="929.24"/>
    <n v="11.76470588235294"/>
    <s v="normal"/>
    <n v="71.264367816091948"/>
    <n v="39.857142857142854"/>
    <n v="96.373056994818654"/>
  </r>
  <r>
    <s v="skincare"/>
    <x v="15"/>
    <n v="36.99"/>
    <n v="94"/>
    <n v="469"/>
    <n v="5442.09"/>
    <s v="Non-binary"/>
    <n v="9"/>
    <n v="8"/>
    <n v="69"/>
    <n v="7"/>
    <s v="Carrier B"/>
    <n v="2.42"/>
    <x v="1"/>
    <s v="Bangalore"/>
    <n v="14"/>
    <n v="580"/>
    <n v="7"/>
    <n v="97.12"/>
    <s v="Pass"/>
    <n v="2.2599999999999998"/>
    <x v="3"/>
    <x v="0"/>
    <n v="127.86"/>
    <n v="9.817877328867489"/>
    <s v="normal"/>
    <n v="5.8268032951577249"/>
    <n v="82.857142857142861"/>
    <n v="5.9719934102141679"/>
  </r>
  <r>
    <s v="skincare"/>
    <x v="16"/>
    <n v="7.55"/>
    <n v="74"/>
    <n v="280"/>
    <n v="6453.8"/>
    <s v="Female"/>
    <n v="2"/>
    <n v="5"/>
    <n v="78"/>
    <n v="1"/>
    <s v="Carrier B"/>
    <n v="4.1900000000000004"/>
    <x v="1"/>
    <s v="Bangalore"/>
    <n v="3"/>
    <n v="399"/>
    <n v="21"/>
    <n v="77.11"/>
    <s v="Pass"/>
    <n v="1.01"/>
    <x v="1"/>
    <x v="2"/>
    <n v="865.53"/>
    <n v="5.8614193008164115"/>
    <s v="normal"/>
    <n v="4.9077490774907755"/>
    <n v="19"/>
    <n v="5.1744261444689403"/>
  </r>
  <r>
    <s v="cosmetics"/>
    <x v="17"/>
    <n v="81.459999999999994"/>
    <n v="82"/>
    <n v="126"/>
    <n v="2629.4"/>
    <s v="Female"/>
    <n v="45"/>
    <n v="17"/>
    <n v="85"/>
    <n v="9"/>
    <s v="Carrier C"/>
    <n v="3.59"/>
    <x v="1"/>
    <s v="Chennai"/>
    <n v="7"/>
    <n v="453"/>
    <n v="16"/>
    <n v="47.68"/>
    <s v="Fail"/>
    <n v="0.1"/>
    <x v="1"/>
    <x v="1"/>
    <n v="670.93"/>
    <n v="2.637638685367385"/>
    <s v="normal"/>
    <n v="8.8355763604447048"/>
    <n v="28.3125"/>
    <n v="9.500838926174497"/>
  </r>
  <r>
    <s v="haircare"/>
    <x v="18"/>
    <n v="36.44"/>
    <n v="23"/>
    <n v="620"/>
    <n v="9364.67"/>
    <s v="Unknown"/>
    <n v="10"/>
    <n v="10"/>
    <n v="46"/>
    <n v="8"/>
    <s v="Carrier C"/>
    <n v="4.34"/>
    <x v="4"/>
    <s v="Kolkata"/>
    <n v="18"/>
    <n v="374"/>
    <n v="17"/>
    <n v="27.11"/>
    <s v="Pending"/>
    <n v="2.23"/>
    <x v="3"/>
    <x v="2"/>
    <n v="593.48"/>
    <n v="12.97885702323634"/>
    <s v="normal"/>
    <n v="11.891891891891893"/>
    <n v="22"/>
    <n v="13.795647362596828"/>
  </r>
  <r>
    <s v="skincare"/>
    <x v="19"/>
    <n v="51.12"/>
    <n v="100"/>
    <n v="187"/>
    <n v="2553.5"/>
    <s v="Unknown"/>
    <n v="48"/>
    <n v="11"/>
    <n v="94"/>
    <n v="3"/>
    <s v="Carrier A"/>
    <n v="4.74"/>
    <x v="3"/>
    <s v="Chennai"/>
    <n v="20"/>
    <n v="694"/>
    <n v="16"/>
    <n v="82.37"/>
    <s v="Fail"/>
    <n v="3.65"/>
    <x v="0"/>
    <x v="1"/>
    <n v="477.31"/>
    <n v="3.9145907473309607"/>
    <s v="normal"/>
    <n v="7.9669383538055332"/>
    <n v="43.375"/>
    <n v="8.4253975962122123"/>
  </r>
  <r>
    <s v="skincare"/>
    <x v="20"/>
    <n v="96.34"/>
    <n v="22"/>
    <n v="320"/>
    <n v="8128.03"/>
    <s v="Unknown"/>
    <n v="27"/>
    <n v="12"/>
    <n v="68"/>
    <n v="6"/>
    <s v="Carrier A"/>
    <n v="8.8800000000000008"/>
    <x v="1"/>
    <s v="Chennai"/>
    <n v="29"/>
    <n v="309"/>
    <n v="6"/>
    <n v="65.69"/>
    <s v="Pass"/>
    <n v="4.2300000000000004"/>
    <x v="1"/>
    <x v="0"/>
    <n v="493.87"/>
    <n v="6.6987649152187565"/>
    <s v="normal"/>
    <n v="4.143757543247955"/>
    <n v="51.5"/>
    <n v="4.7039123154209168"/>
  </r>
  <r>
    <s v="cosmetics"/>
    <x v="21"/>
    <n v="84.89"/>
    <n v="60"/>
    <n v="601"/>
    <n v="7087.05"/>
    <s v="Unknown"/>
    <n v="69"/>
    <n v="25"/>
    <n v="7"/>
    <n v="6"/>
    <s v="Carrier B"/>
    <n v="6.04"/>
    <x v="2"/>
    <s v="Chennai"/>
    <n v="19"/>
    <n v="791"/>
    <n v="4"/>
    <n v="61.74"/>
    <s v="Pending"/>
    <n v="0.02"/>
    <x v="1"/>
    <x v="1"/>
    <n v="523.36"/>
    <n v="12.581117856395226"/>
    <s v="normal"/>
    <n v="11.670109176748303"/>
    <n v="197.75"/>
    <n v="12.811791383219955"/>
  </r>
  <r>
    <s v="haircare"/>
    <x v="22"/>
    <n v="27.68"/>
    <n v="55"/>
    <n v="884"/>
    <n v="2390.81"/>
    <s v="Unknown"/>
    <n v="71"/>
    <n v="1"/>
    <n v="63"/>
    <n v="10"/>
    <s v="Carrier A"/>
    <n v="9.57"/>
    <x v="3"/>
    <s v="Kolkata"/>
    <n v="22"/>
    <n v="780"/>
    <n v="28"/>
    <n v="50.12"/>
    <s v="Fail"/>
    <n v="2.59"/>
    <x v="2"/>
    <x v="1"/>
    <n v="205.57"/>
    <n v="18.505338078291814"/>
    <s v="normal"/>
    <n v="13.067515496733122"/>
    <n v="27.857142857142858"/>
    <n v="15.562649640861933"/>
  </r>
  <r>
    <s v="cosmetics"/>
    <x v="23"/>
    <n v="4.32"/>
    <n v="30"/>
    <n v="391"/>
    <n v="8858.3700000000008"/>
    <s v="Unknown"/>
    <n v="84"/>
    <n v="5"/>
    <n v="29"/>
    <n v="7"/>
    <s v="Carrier A"/>
    <n v="2.92"/>
    <x v="2"/>
    <s v="Kolkata"/>
    <n v="11"/>
    <n v="568"/>
    <n v="29"/>
    <n v="98.61"/>
    <s v="Pending"/>
    <n v="1.34"/>
    <x v="2"/>
    <x v="2"/>
    <n v="196.33"/>
    <n v="8.185053380782918"/>
    <s v="normal"/>
    <n v="5.5944055944055942"/>
    <n v="19.586206896551722"/>
    <n v="5.7600649021397423"/>
  </r>
  <r>
    <s v="haircare"/>
    <x v="24"/>
    <n v="4.16"/>
    <n v="32"/>
    <n v="209"/>
    <n v="9049.08"/>
    <s v="Male"/>
    <n v="4"/>
    <n v="26"/>
    <n v="2"/>
    <n v="8"/>
    <s v="Carrier C"/>
    <n v="9.74"/>
    <x v="4"/>
    <s v="Bangalore"/>
    <n v="28"/>
    <n v="447"/>
    <n v="3"/>
    <n v="40.380000000000003"/>
    <s v="Pending"/>
    <n v="3.69"/>
    <x v="1"/>
    <x v="2"/>
    <n v="758.72"/>
    <n v="4.37513083525225"/>
    <s v="normal"/>
    <n v="8.9185953711093369"/>
    <n v="149"/>
    <n v="11.069836552748885"/>
  </r>
  <r>
    <s v="haircare"/>
    <x v="25"/>
    <n v="39.630000000000003"/>
    <n v="73"/>
    <n v="142"/>
    <n v="2174.7800000000002"/>
    <s v="Male"/>
    <n v="82"/>
    <n v="11"/>
    <n v="52"/>
    <n v="3"/>
    <s v="Carrier C"/>
    <n v="2.23"/>
    <x v="3"/>
    <s v="Kolkata"/>
    <n v="19"/>
    <n v="934"/>
    <n v="23"/>
    <n v="78.28"/>
    <s v="Pending"/>
    <n v="3.8"/>
    <x v="0"/>
    <x v="0"/>
    <n v="458.54"/>
    <n v="2.972576931128323"/>
    <s v="normal"/>
    <n v="11.601043348652341"/>
    <n v="40.608695652173914"/>
    <n v="11.931527848748084"/>
  </r>
  <r>
    <s v="haircare"/>
    <x v="26"/>
    <n v="97.45"/>
    <n v="9"/>
    <n v="353"/>
    <n v="3716.49"/>
    <s v="Male"/>
    <n v="59"/>
    <n v="16"/>
    <n v="48"/>
    <n v="4"/>
    <s v="Carrier B"/>
    <n v="6.51"/>
    <x v="4"/>
    <s v="Bangalore"/>
    <n v="26"/>
    <n v="171"/>
    <n v="4"/>
    <n v="15.97"/>
    <s v="Pass"/>
    <n v="2.12"/>
    <x v="2"/>
    <x v="2"/>
    <n v="617.87"/>
    <n v="7.3895750471006902"/>
    <s v="normal"/>
    <n v="7.6067615658362984"/>
    <n v="42.75"/>
    <n v="10.707576706324359"/>
  </r>
  <r>
    <s v="cosmetics"/>
    <x v="27"/>
    <n v="92.56"/>
    <n v="42"/>
    <n v="352"/>
    <n v="2686.46"/>
    <s v="Unknown"/>
    <n v="47"/>
    <n v="9"/>
    <n v="62"/>
    <n v="8"/>
    <s v="Carrier C"/>
    <n v="7.41"/>
    <x v="2"/>
    <s v="Mumbai"/>
    <n v="25"/>
    <n v="291"/>
    <n v="4"/>
    <n v="10.53"/>
    <s v="Fail"/>
    <n v="2.86"/>
    <x v="3"/>
    <x v="0"/>
    <n v="762.46"/>
    <n v="7.3686414067406316"/>
    <s v="normal"/>
    <n v="16.220735785953178"/>
    <n v="72.75"/>
    <n v="27.635327635327638"/>
  </r>
  <r>
    <s v="cosmetics"/>
    <x v="28"/>
    <n v="2.4"/>
    <n v="12"/>
    <n v="394"/>
    <n v="6117.32"/>
    <s v="Female"/>
    <n v="48"/>
    <n v="15"/>
    <n v="24"/>
    <n v="4"/>
    <s v="Carrier B"/>
    <n v="9.9"/>
    <x v="1"/>
    <s v="Mumbai"/>
    <n v="13"/>
    <n v="171"/>
    <n v="7"/>
    <n v="59.43"/>
    <s v="Fail"/>
    <n v="0.82"/>
    <x v="1"/>
    <x v="2"/>
    <n v="123.44"/>
    <n v="8.247854301863093"/>
    <s v="normal"/>
    <n v="2.4664647338814367"/>
    <n v="24.428571428571427"/>
    <n v="2.8773346794548207"/>
  </r>
  <r>
    <s v="cosmetics"/>
    <x v="29"/>
    <n v="63.45"/>
    <n v="3"/>
    <n v="253"/>
    <n v="8318.9"/>
    <s v="Female"/>
    <n v="45"/>
    <n v="5"/>
    <n v="67"/>
    <n v="7"/>
    <s v="Carrier B"/>
    <n v="8.1"/>
    <x v="1"/>
    <s v="Kolkata"/>
    <n v="16"/>
    <n v="329"/>
    <n v="7"/>
    <n v="39.29"/>
    <s v="Pass"/>
    <n v="3.88"/>
    <x v="0"/>
    <x v="0"/>
    <n v="764.94"/>
    <n v="5.2962110110948286"/>
    <s v="normal"/>
    <n v="6.9423929098966024"/>
    <n v="47"/>
    <n v="8.3736319674217352"/>
  </r>
  <r>
    <s v="haircare"/>
    <x v="30"/>
    <n v="8.02"/>
    <n v="10"/>
    <n v="327"/>
    <n v="2766.34"/>
    <s v="Male"/>
    <n v="60"/>
    <n v="26"/>
    <n v="35"/>
    <n v="7"/>
    <s v="Carrier B"/>
    <n v="8.9499999999999993"/>
    <x v="3"/>
    <s v="Kolkata"/>
    <n v="27"/>
    <n v="806"/>
    <n v="30"/>
    <n v="51.63"/>
    <s v="Pending"/>
    <n v="0.97"/>
    <x v="0"/>
    <x v="1"/>
    <n v="880.08"/>
    <n v="6.845300397739166"/>
    <s v="normal"/>
    <n v="13.304721030042918"/>
    <n v="26.866666666666667"/>
    <n v="15.611078830137517"/>
  </r>
  <r>
    <s v="skincare"/>
    <x v="31"/>
    <n v="50.85"/>
    <n v="28"/>
    <n v="168"/>
    <n v="9655.14"/>
    <s v="Male"/>
    <n v="6"/>
    <n v="17"/>
    <n v="44"/>
    <n v="4"/>
    <s v="Carrier B"/>
    <n v="2.68"/>
    <x v="0"/>
    <s v="Chennai"/>
    <n v="24"/>
    <n v="461"/>
    <n v="8"/>
    <n v="60.25"/>
    <s v="Pending"/>
    <n v="2.99"/>
    <x v="2"/>
    <x v="1"/>
    <n v="609.38"/>
    <n v="3.5168515804898468"/>
    <s v="normal"/>
    <n v="7.3255998728746228"/>
    <n v="57.625"/>
    <n v="7.6514522821576767"/>
  </r>
  <r>
    <s v="skincare"/>
    <x v="32"/>
    <n v="79.209999999999994"/>
    <n v="43"/>
    <n v="781"/>
    <n v="9571.5499999999993"/>
    <s v="Unknown"/>
    <n v="89"/>
    <n v="13"/>
    <n v="64"/>
    <n v="4"/>
    <s v="Carrier C"/>
    <n v="6.6"/>
    <x v="0"/>
    <s v="Kolkata"/>
    <n v="30"/>
    <n v="737"/>
    <n v="7"/>
    <n v="29.69"/>
    <s v="Pass"/>
    <n v="1.95"/>
    <x v="0"/>
    <x v="2"/>
    <n v="761.17"/>
    <n v="16.349173121205776"/>
    <s v="normal"/>
    <n v="20.30862496555525"/>
    <n v="105.28571428571429"/>
    <n v="24.823172785449646"/>
  </r>
  <r>
    <s v="cosmetics"/>
    <x v="33"/>
    <n v="64.8"/>
    <n v="63"/>
    <n v="616"/>
    <n v="5150"/>
    <s v="Non-binary"/>
    <n v="4"/>
    <n v="17"/>
    <n v="95"/>
    <n v="9"/>
    <s v="Carrier C"/>
    <n v="4.8600000000000003"/>
    <x v="2"/>
    <s v="Chennai"/>
    <n v="1"/>
    <n v="251"/>
    <n v="23"/>
    <n v="23.85"/>
    <s v="Fail"/>
    <n v="3.54"/>
    <x v="3"/>
    <x v="2"/>
    <n v="371.26"/>
    <n v="12.895122461796106"/>
    <s v="normal"/>
    <n v="8.742598397770811"/>
    <n v="10.913043478260869"/>
    <n v="10.524109014675052"/>
  </r>
  <r>
    <s v="skincare"/>
    <x v="34"/>
    <n v="37.47"/>
    <n v="96"/>
    <n v="602"/>
    <n v="9061.7099999999991"/>
    <s v="Unknown"/>
    <n v="1"/>
    <n v="26"/>
    <n v="21"/>
    <n v="7"/>
    <s v="Carrier A"/>
    <n v="1.02"/>
    <x v="1"/>
    <s v="Chennai"/>
    <n v="4"/>
    <n v="452"/>
    <n v="10"/>
    <n v="10.75"/>
    <s v="Pass"/>
    <n v="0.65"/>
    <x v="0"/>
    <x v="0"/>
    <n v="510.36"/>
    <n v="12.602051496755285"/>
    <s v="normal"/>
    <n v="38.40271877655055"/>
    <n v="45.2"/>
    <n v="42.046511627906973"/>
  </r>
  <r>
    <s v="cosmetics"/>
    <x v="35"/>
    <n v="84.96"/>
    <n v="11"/>
    <n v="449"/>
    <n v="6541.33"/>
    <s v="Female"/>
    <n v="42"/>
    <n v="27"/>
    <n v="85"/>
    <n v="8"/>
    <s v="Carrier C"/>
    <n v="5.29"/>
    <x v="1"/>
    <s v="Delhi"/>
    <n v="3"/>
    <n v="367"/>
    <n v="2"/>
    <n v="58"/>
    <s v="Pass"/>
    <n v="0.54"/>
    <x v="3"/>
    <x v="1"/>
    <n v="553.41999999999996"/>
    <n v="9.3992045216663165"/>
    <s v="normal"/>
    <n v="5.7987043766787805"/>
    <n v="183.5"/>
    <n v="6.3275862068965516"/>
  </r>
  <r>
    <s v="skincare"/>
    <x v="36"/>
    <n v="9.81"/>
    <n v="34"/>
    <n v="963"/>
    <n v="7573.4"/>
    <s v="Female"/>
    <n v="18"/>
    <n v="23"/>
    <n v="28"/>
    <n v="3"/>
    <s v="Carrier B"/>
    <n v="2.11"/>
    <x v="4"/>
    <s v="Delhi"/>
    <n v="26"/>
    <n v="671"/>
    <n v="19"/>
    <n v="45.53"/>
    <s v="Fail"/>
    <n v="3.81"/>
    <x v="1"/>
    <x v="1"/>
    <n v="403.81"/>
    <n v="20.159095666736444"/>
    <s v="normal"/>
    <n v="14.084802686817801"/>
    <n v="35.315789473684212"/>
    <n v="14.737535690753349"/>
  </r>
  <r>
    <s v="skincare"/>
    <x v="37"/>
    <n v="23.4"/>
    <n v="5"/>
    <n v="963"/>
    <n v="2438.34"/>
    <s v="Female"/>
    <n v="25"/>
    <n v="8"/>
    <n v="21"/>
    <n v="9"/>
    <s v="Carrier A"/>
    <n v="1.53"/>
    <x v="0"/>
    <s v="Kolkata"/>
    <n v="24"/>
    <n v="867"/>
    <n v="15"/>
    <n v="34.340000000000003"/>
    <s v="Pending"/>
    <n v="2.61"/>
    <x v="3"/>
    <x v="2"/>
    <n v="183.93"/>
    <n v="20.159095666736444"/>
    <s v="normal"/>
    <n v="24.170616113744074"/>
    <n v="57.8"/>
    <n v="25.247524752475243"/>
  </r>
  <r>
    <s v="cosmetics"/>
    <x v="38"/>
    <n v="52.08"/>
    <n v="75"/>
    <n v="705"/>
    <n v="9692.32"/>
    <s v="Non-binary"/>
    <n v="69"/>
    <n v="1"/>
    <n v="88"/>
    <n v="5"/>
    <s v="Carrier B"/>
    <n v="9.24"/>
    <x v="2"/>
    <s v="Mumbai"/>
    <n v="10"/>
    <n v="841"/>
    <n v="12"/>
    <n v="5.93"/>
    <s v="Pending"/>
    <n v="0.61"/>
    <x v="1"/>
    <x v="0"/>
    <n v="339.67"/>
    <n v="14.758216453841323"/>
    <s v="normal"/>
    <n v="55.438365194462754"/>
    <n v="70.083333333333329"/>
    <n v="141.82124789207421"/>
  </r>
  <r>
    <s v="skincare"/>
    <x v="39"/>
    <n v="19.13"/>
    <n v="26"/>
    <n v="176"/>
    <n v="1912.47"/>
    <s v="Female"/>
    <n v="78"/>
    <n v="29"/>
    <n v="34"/>
    <n v="3"/>
    <s v="Carrier A"/>
    <n v="5.56"/>
    <x v="4"/>
    <s v="Kolkata"/>
    <n v="30"/>
    <n v="791"/>
    <n v="6"/>
    <n v="9.01"/>
    <s v="Fail"/>
    <n v="1.45"/>
    <x v="1"/>
    <x v="0"/>
    <n v="653.66999999999996"/>
    <n v="3.6843207033703158"/>
    <s v="normal"/>
    <n v="54.289636238846946"/>
    <n v="131.83333333333334"/>
    <n v="87.791342952275258"/>
  </r>
  <r>
    <s v="skincare"/>
    <x v="40"/>
    <n v="80.540000000000006"/>
    <n v="97"/>
    <n v="933"/>
    <n v="5724.96"/>
    <s v="Female"/>
    <n v="90"/>
    <n v="20"/>
    <n v="39"/>
    <n v="8"/>
    <s v="Carrier C"/>
    <n v="7.23"/>
    <x v="1"/>
    <s v="Kolkata"/>
    <n v="18"/>
    <n v="793"/>
    <n v="1"/>
    <n v="88.18"/>
    <s v="Pending"/>
    <n v="4.21"/>
    <x v="0"/>
    <x v="2"/>
    <n v="529.80999999999995"/>
    <n v="19.531086455934688"/>
    <s v="normal"/>
    <n v="8.3114977465674453"/>
    <n v="793"/>
    <n v="8.992968927194374"/>
  </r>
  <r>
    <s v="skincare"/>
    <x v="41"/>
    <n v="99.11"/>
    <n v="35"/>
    <n v="556"/>
    <n v="5521.21"/>
    <s v="Female"/>
    <n v="64"/>
    <n v="19"/>
    <n v="38"/>
    <n v="8"/>
    <s v="Carrier B"/>
    <n v="5.77"/>
    <x v="3"/>
    <s v="Chennai"/>
    <n v="18"/>
    <n v="892"/>
    <n v="7"/>
    <n v="95.33"/>
    <s v="Fail"/>
    <n v="0.05"/>
    <x v="3"/>
    <x v="2"/>
    <n v="275.52"/>
    <n v="11.639104040192588"/>
    <s v="normal"/>
    <n v="8.8229475766567766"/>
    <n v="127.42857142857143"/>
    <n v="9.3569705234448755"/>
  </r>
  <r>
    <s v="skincare"/>
    <x v="42"/>
    <n v="46.53"/>
    <n v="98"/>
    <n v="155"/>
    <n v="1839.61"/>
    <s v="Female"/>
    <n v="22"/>
    <n v="27"/>
    <n v="57"/>
    <n v="4"/>
    <s v="Carrier C"/>
    <n v="7.53"/>
    <x v="2"/>
    <s v="Bangalore"/>
    <n v="26"/>
    <n v="179"/>
    <n v="7"/>
    <n v="96.42"/>
    <s v="Fail"/>
    <n v="4.9400000000000004"/>
    <x v="0"/>
    <x v="2"/>
    <n v="635.66"/>
    <n v="3.2447142558090851"/>
    <s v="normal"/>
    <n v="1.7219817219817219"/>
    <n v="25.571428571428573"/>
    <n v="1.856461315079859"/>
  </r>
  <r>
    <s v="haircare"/>
    <x v="43"/>
    <n v="11.74"/>
    <n v="6"/>
    <n v="598"/>
    <n v="5737.43"/>
    <s v="Unknown"/>
    <n v="36"/>
    <n v="29"/>
    <n v="85"/>
    <n v="9"/>
    <s v="Carrier B"/>
    <n v="3.69"/>
    <x v="2"/>
    <s v="Mumbai"/>
    <n v="1"/>
    <n v="206"/>
    <n v="23"/>
    <n v="26.28"/>
    <s v="Pending"/>
    <n v="0.37"/>
    <x v="1"/>
    <x v="2"/>
    <n v="716.04"/>
    <n v="12.518316935315051"/>
    <s v="normal"/>
    <n v="6.8735402068735398"/>
    <n v="8.9565217391304355"/>
    <n v="7.8386605783866052"/>
  </r>
  <r>
    <s v="cosmetics"/>
    <x v="44"/>
    <n v="51.36"/>
    <n v="34"/>
    <n v="919"/>
    <n v="7152.29"/>
    <s v="Female"/>
    <n v="13"/>
    <n v="19"/>
    <n v="72"/>
    <n v="6"/>
    <s v="Carrier C"/>
    <n v="7.58"/>
    <x v="4"/>
    <s v="Delhi"/>
    <n v="7"/>
    <n v="834"/>
    <n v="18"/>
    <n v="22.55"/>
    <s v="Fail"/>
    <n v="2.96"/>
    <x v="2"/>
    <x v="2"/>
    <n v="610.45000000000005"/>
    <n v="19.238015490893865"/>
    <s v="normal"/>
    <n v="27.680053103219379"/>
    <n v="46.333333333333336"/>
    <n v="36.984478935698448"/>
  </r>
  <r>
    <s v="haircare"/>
    <x v="45"/>
    <n v="33.78"/>
    <n v="1"/>
    <n v="24"/>
    <n v="5267.96"/>
    <s v="Male"/>
    <n v="93"/>
    <n v="7"/>
    <n v="52"/>
    <n v="6"/>
    <s v="Carrier B"/>
    <n v="5.22"/>
    <x v="4"/>
    <s v="Chennai"/>
    <n v="25"/>
    <n v="794"/>
    <n v="25"/>
    <n v="66.31"/>
    <s v="Pass"/>
    <n v="3.22"/>
    <x v="2"/>
    <x v="2"/>
    <n v="495.31"/>
    <n v="0.50240736864140667"/>
    <s v="overstock"/>
    <n v="11.100237662519223"/>
    <n v="31.76"/>
    <n v="11.974061227567486"/>
  </r>
  <r>
    <s v="haircare"/>
    <x v="46"/>
    <n v="27.08"/>
    <n v="75"/>
    <n v="859"/>
    <n v="2556.77"/>
    <s v="Non-binary"/>
    <n v="92"/>
    <n v="29"/>
    <n v="6"/>
    <n v="8"/>
    <s v="Carrier B"/>
    <n v="4.07"/>
    <x v="0"/>
    <s v="Chennai"/>
    <n v="18"/>
    <n v="870"/>
    <n v="23"/>
    <n v="77.319999999999993"/>
    <s v="Pending"/>
    <n v="3.65"/>
    <x v="0"/>
    <x v="0"/>
    <n v="380.44"/>
    <n v="17.981997069290347"/>
    <s v="normal"/>
    <n v="10.689273866568376"/>
    <n v="37.826086956521742"/>
    <n v="11.251939989653389"/>
  </r>
  <r>
    <s v="skincare"/>
    <x v="47"/>
    <n v="95.71"/>
    <n v="93"/>
    <n v="910"/>
    <n v="7089.47"/>
    <s v="Male"/>
    <n v="4"/>
    <n v="15"/>
    <n v="51"/>
    <n v="9"/>
    <s v="Carrier B"/>
    <n v="8.98"/>
    <x v="1"/>
    <s v="Kolkata"/>
    <n v="10"/>
    <n v="964"/>
    <n v="20"/>
    <n v="19.71"/>
    <s v="Pending"/>
    <n v="0.38"/>
    <x v="2"/>
    <x v="2"/>
    <n v="581.6"/>
    <n v="19.049612727653336"/>
    <s v="normal"/>
    <n v="33.600557685604741"/>
    <n v="48.2"/>
    <n v="48.909183155758498"/>
  </r>
  <r>
    <s v="haircare"/>
    <x v="48"/>
    <n v="76.040000000000006"/>
    <n v="28"/>
    <n v="29"/>
    <n v="7397.07"/>
    <s v="Non-binary"/>
    <n v="30"/>
    <n v="16"/>
    <n v="9"/>
    <n v="3"/>
    <s v="Carrier C"/>
    <n v="7.1"/>
    <x v="4"/>
    <s v="Mumbai"/>
    <n v="9"/>
    <n v="109"/>
    <n v="18"/>
    <n v="23.13"/>
    <s v="Fail"/>
    <n v="1.7"/>
    <x v="2"/>
    <x v="0"/>
    <n v="768.65"/>
    <n v="0.6070755704416998"/>
    <s v="overstock"/>
    <n v="3.6056897122064178"/>
    <n v="6.0555555555555554"/>
    <n v="4.7124945957630784"/>
  </r>
  <r>
    <s v="cosmetics"/>
    <x v="49"/>
    <n v="78.900000000000006"/>
    <n v="19"/>
    <n v="99"/>
    <n v="8001.61"/>
    <s v="Unknown"/>
    <n v="97"/>
    <n v="24"/>
    <n v="9"/>
    <n v="6"/>
    <s v="Carrier C"/>
    <n v="2.5099999999999998"/>
    <x v="2"/>
    <s v="Delhi"/>
    <n v="28"/>
    <n v="177"/>
    <n v="28"/>
    <n v="14.15"/>
    <s v="Pass"/>
    <n v="2.83"/>
    <x v="2"/>
    <x v="2"/>
    <n v="336.89"/>
    <n v="2.0724303956458026"/>
    <s v="normal"/>
    <n v="10.624249699879952"/>
    <n v="6.3214285714285712"/>
    <n v="12.508833922261484"/>
  </r>
  <r>
    <s v="cosmetics"/>
    <x v="50"/>
    <n v="14.2"/>
    <n v="91"/>
    <n v="633"/>
    <n v="5910.89"/>
    <s v="Female"/>
    <n v="31"/>
    <n v="23"/>
    <n v="82"/>
    <n v="10"/>
    <s v="Carrier A"/>
    <n v="6.25"/>
    <x v="4"/>
    <s v="Delhi"/>
    <n v="20"/>
    <n v="306"/>
    <n v="21"/>
    <n v="45.18"/>
    <s v="Fail"/>
    <n v="4.75"/>
    <x v="2"/>
    <x v="0"/>
    <n v="496.25"/>
    <n v="13.250994347917102"/>
    <s v="normal"/>
    <n v="5.949834726813144"/>
    <n v="14.571428571428571"/>
    <n v="6.7729083665338647"/>
  </r>
  <r>
    <s v="haircare"/>
    <x v="51"/>
    <n v="26.7"/>
    <n v="61"/>
    <n v="154"/>
    <n v="9866.4699999999993"/>
    <s v="Male"/>
    <n v="100"/>
    <n v="4"/>
    <n v="52"/>
    <n v="1"/>
    <s v="Carrier A"/>
    <n v="4.78"/>
    <x v="2"/>
    <s v="Bangalore"/>
    <n v="18"/>
    <n v="673"/>
    <n v="28"/>
    <n v="14.19"/>
    <s v="Pending"/>
    <n v="1.77"/>
    <x v="0"/>
    <x v="2"/>
    <n v="694.98"/>
    <n v="3.2237806154490265"/>
    <s v="normal"/>
    <n v="35.477069056404851"/>
    <n v="24.035714285714285"/>
    <n v="47.427766032417196"/>
  </r>
  <r>
    <s v="skincare"/>
    <x v="52"/>
    <n v="98.03"/>
    <n v="1"/>
    <n v="820"/>
    <n v="9435.76"/>
    <s v="Male"/>
    <n v="64"/>
    <n v="11"/>
    <n v="11"/>
    <n v="1"/>
    <s v="Carrier B"/>
    <n v="8.6300000000000008"/>
    <x v="1"/>
    <s v="Mumbai"/>
    <n v="10"/>
    <n v="727"/>
    <n v="27"/>
    <n v="9.17"/>
    <s v="Pending"/>
    <n v="2.12"/>
    <x v="1"/>
    <x v="1"/>
    <n v="602.9"/>
    <n v="17.165585095248062"/>
    <s v="normal"/>
    <n v="40.842696629213485"/>
    <n v="26.925925925925927"/>
    <n v="79.280261723009815"/>
  </r>
  <r>
    <s v="skincare"/>
    <x v="53"/>
    <n v="30.34"/>
    <n v="93"/>
    <n v="242"/>
    <n v="8232.33"/>
    <s v="Male"/>
    <n v="96"/>
    <n v="25"/>
    <n v="54"/>
    <n v="3"/>
    <s v="Carrier B"/>
    <n v="1.01"/>
    <x v="1"/>
    <s v="Delhi"/>
    <n v="1"/>
    <n v="631"/>
    <n v="17"/>
    <n v="83.34"/>
    <s v="Pending"/>
    <n v="1.41"/>
    <x v="1"/>
    <x v="0"/>
    <n v="750.74"/>
    <n v="5.0659409671341846"/>
    <s v="normal"/>
    <n v="7.4807350326022517"/>
    <n v="37.117647058823529"/>
    <n v="7.571394288456923"/>
  </r>
  <r>
    <s v="haircare"/>
    <x v="54"/>
    <n v="31.15"/>
    <n v="11"/>
    <n v="622"/>
    <n v="6088.02"/>
    <s v="Non-binary"/>
    <n v="33"/>
    <n v="22"/>
    <n v="61"/>
    <n v="3"/>
    <s v="Carrier B"/>
    <n v="4.3099999999999996"/>
    <x v="1"/>
    <s v="Kolkata"/>
    <n v="26"/>
    <n v="497"/>
    <n v="29"/>
    <n v="30.19"/>
    <s v="Pass"/>
    <n v="2.48"/>
    <x v="0"/>
    <x v="0"/>
    <n v="814.07"/>
    <n v="13.020724303956458"/>
    <s v="normal"/>
    <n v="14.405797101449275"/>
    <n v="17.137931034482758"/>
    <n v="16.46240476979132"/>
  </r>
  <r>
    <s v="haircare"/>
    <x v="55"/>
    <n v="79.86"/>
    <n v="16"/>
    <n v="701"/>
    <n v="2925.68"/>
    <s v="Male"/>
    <n v="97"/>
    <n v="11"/>
    <n v="11"/>
    <n v="5"/>
    <s v="Carrier A"/>
    <n v="5.01"/>
    <x v="4"/>
    <s v="Delhi"/>
    <n v="27"/>
    <n v="918"/>
    <n v="5"/>
    <n v="30.32"/>
    <s v="Fail"/>
    <n v="4.55"/>
    <x v="3"/>
    <x v="0"/>
    <n v="323.01"/>
    <n v="14.674481892401088"/>
    <s v="normal"/>
    <n v="25.983583356920466"/>
    <n v="183.6"/>
    <n v="30.277044854881265"/>
  </r>
  <r>
    <s v="skincare"/>
    <x v="56"/>
    <n v="20.99"/>
    <n v="90"/>
    <n v="93"/>
    <n v="4767.0200000000004"/>
    <s v="Non-binary"/>
    <n v="25"/>
    <n v="23"/>
    <n v="83"/>
    <n v="5"/>
    <s v="Carrier C"/>
    <n v="1.77"/>
    <x v="1"/>
    <s v="Mumbai"/>
    <n v="24"/>
    <n v="826"/>
    <n v="28"/>
    <n v="12.84"/>
    <s v="Pass"/>
    <n v="1.17"/>
    <x v="1"/>
    <x v="0"/>
    <n v="832.21"/>
    <n v="1.946828553485451"/>
    <s v="normal"/>
    <n v="56.536618754277896"/>
    <n v="29.5"/>
    <n v="64.330218068535828"/>
  </r>
  <r>
    <s v="haircare"/>
    <x v="57"/>
    <n v="49.26"/>
    <n v="65"/>
    <n v="227"/>
    <n v="1605.87"/>
    <s v="Unknown"/>
    <n v="5"/>
    <n v="18"/>
    <n v="51"/>
    <n v="1"/>
    <s v="Carrier B"/>
    <n v="9.16"/>
    <x v="4"/>
    <s v="Delhi"/>
    <n v="21"/>
    <n v="588"/>
    <n v="25"/>
    <n v="67.78"/>
    <s v="Pending"/>
    <n v="2.5099999999999998"/>
    <x v="2"/>
    <x v="2"/>
    <n v="482.19"/>
    <n v="4.7519363617333052"/>
    <s v="normal"/>
    <n v="7.6423186898882252"/>
    <n v="23.52"/>
    <n v="8.6751254057244029"/>
  </r>
  <r>
    <s v="skincare"/>
    <x v="58"/>
    <n v="59.84"/>
    <n v="81"/>
    <n v="896"/>
    <n v="2021.15"/>
    <s v="Non-binary"/>
    <n v="10"/>
    <n v="5"/>
    <n v="44"/>
    <n v="7"/>
    <s v="Carrier A"/>
    <n v="4.9400000000000004"/>
    <x v="0"/>
    <s v="Delhi"/>
    <n v="18"/>
    <n v="396"/>
    <n v="7"/>
    <n v="65.05"/>
    <s v="Fail"/>
    <n v="1.73"/>
    <x v="0"/>
    <x v="0"/>
    <n v="110.36"/>
    <n v="18.756541762612517"/>
    <s v="normal"/>
    <n v="5.6579511358765542"/>
    <n v="56.571428571428569"/>
    <n v="6.0876249039200614"/>
  </r>
  <r>
    <s v="cosmetics"/>
    <x v="59"/>
    <n v="63.83"/>
    <n v="30"/>
    <n v="484"/>
    <n v="1061.6199999999999"/>
    <s v="Non-binary"/>
    <n v="100"/>
    <n v="16"/>
    <n v="26"/>
    <n v="7"/>
    <s v="Carrier B"/>
    <n v="7.29"/>
    <x v="1"/>
    <s v="Kolkata"/>
    <n v="11"/>
    <n v="176"/>
    <n v="4"/>
    <n v="1.9"/>
    <s v="Fail"/>
    <n v="0.45"/>
    <x v="1"/>
    <x v="2"/>
    <n v="312.57"/>
    <n v="10.131881934268369"/>
    <s v="normal"/>
    <n v="19.151251360174104"/>
    <n v="44"/>
    <n v="92.631578947368425"/>
  </r>
  <r>
    <s v="skincare"/>
    <x v="60"/>
    <n v="17.03"/>
    <n v="16"/>
    <n v="380"/>
    <n v="8864.08"/>
    <s v="Female"/>
    <n v="41"/>
    <n v="27"/>
    <n v="72"/>
    <n v="8"/>
    <s v="Carrier C"/>
    <n v="4.38"/>
    <x v="3"/>
    <s v="Mumbai"/>
    <n v="29"/>
    <n v="929"/>
    <n v="24"/>
    <n v="87.21"/>
    <s v="Fail"/>
    <n v="2.85"/>
    <x v="2"/>
    <x v="2"/>
    <n v="430.17"/>
    <n v="7.9547833368222731"/>
    <s v="normal"/>
    <n v="10.143028714925212"/>
    <n v="38.708333333333336"/>
    <n v="10.652448113748424"/>
  </r>
  <r>
    <s v="haircare"/>
    <x v="61"/>
    <n v="52.03"/>
    <n v="23"/>
    <n v="117"/>
    <n v="6885.59"/>
    <s v="Unknown"/>
    <n v="32"/>
    <n v="23"/>
    <n v="36"/>
    <n v="7"/>
    <s v="Carrier C"/>
    <n v="9.0299999999999994"/>
    <x v="3"/>
    <s v="Kolkata"/>
    <n v="14"/>
    <n v="480"/>
    <n v="12"/>
    <n v="78.7"/>
    <s v="Fail"/>
    <n v="4.37"/>
    <x v="1"/>
    <x v="2"/>
    <n v="164.37"/>
    <n v="2.4492359221268578"/>
    <s v="normal"/>
    <n v="5.4713324974353128"/>
    <n v="40"/>
    <n v="6.099110546378653"/>
  </r>
  <r>
    <s v="cosmetics"/>
    <x v="62"/>
    <n v="72.8"/>
    <n v="89"/>
    <n v="270"/>
    <n v="3899.75"/>
    <s v="Unknown"/>
    <n v="86"/>
    <n v="2"/>
    <n v="40"/>
    <n v="7"/>
    <s v="Carrier C"/>
    <n v="7.29"/>
    <x v="4"/>
    <s v="Mumbai"/>
    <n v="13"/>
    <n v="751"/>
    <n v="14"/>
    <n v="21.05"/>
    <s v="Pass"/>
    <n v="1.87"/>
    <x v="3"/>
    <x v="1"/>
    <n v="320.85000000000002"/>
    <n v="5.6520828972158252"/>
    <s v="normal"/>
    <n v="26.499647141848978"/>
    <n v="53.642857142857146"/>
    <n v="35.676959619952491"/>
  </r>
  <r>
    <s v="skincare"/>
    <x v="63"/>
    <n v="13.02"/>
    <n v="55"/>
    <n v="246"/>
    <n v="4256.95"/>
    <s v="Non-binary"/>
    <n v="54"/>
    <n v="19"/>
    <n v="10"/>
    <n v="4"/>
    <s v="Carrier A"/>
    <n v="2.46"/>
    <x v="0"/>
    <s v="Bangalore"/>
    <n v="18"/>
    <n v="736"/>
    <n v="10"/>
    <n v="20.079999999999998"/>
    <s v="Pending"/>
    <n v="3.63"/>
    <x v="3"/>
    <x v="2"/>
    <n v="687.29"/>
    <n v="5.1496755285744191"/>
    <s v="normal"/>
    <n v="32.653061224489797"/>
    <n v="73.599999999999994"/>
    <n v="36.65338645418327"/>
  </r>
  <r>
    <s v="skincare"/>
    <x v="64"/>
    <n v="89.63"/>
    <n v="11"/>
    <n v="134"/>
    <n v="8458.73"/>
    <s v="Female"/>
    <n v="73"/>
    <n v="27"/>
    <n v="75"/>
    <n v="6"/>
    <s v="Carrier C"/>
    <n v="4.59"/>
    <x v="1"/>
    <s v="Delhi"/>
    <n v="17"/>
    <n v="328"/>
    <n v="6"/>
    <n v="8.69"/>
    <s v="Fail"/>
    <n v="0.16"/>
    <x v="1"/>
    <x v="1"/>
    <n v="771.23"/>
    <n v="2.805107808247854"/>
    <s v="normal"/>
    <n v="24.698795180722893"/>
    <n v="54.666666666666664"/>
    <n v="37.744533947065598"/>
  </r>
  <r>
    <s v="skincare"/>
    <x v="65"/>
    <n v="33.700000000000003"/>
    <n v="72"/>
    <n v="457"/>
    <n v="8354.58"/>
    <s v="Male"/>
    <n v="57"/>
    <n v="24"/>
    <n v="54"/>
    <n v="8"/>
    <s v="Carrier C"/>
    <n v="6.58"/>
    <x v="2"/>
    <s v="Kolkata"/>
    <n v="16"/>
    <n v="358"/>
    <n v="21"/>
    <n v="1.6"/>
    <s v="Fail"/>
    <n v="4.91"/>
    <x v="2"/>
    <x v="1"/>
    <n v="555.86"/>
    <n v="9.5666736445467855"/>
    <s v="normal"/>
    <n v="43.765281173594133"/>
    <n v="17.047619047619047"/>
    <n v="223.75"/>
  </r>
  <r>
    <s v="skincare"/>
    <x v="66"/>
    <n v="26.03"/>
    <n v="52"/>
    <n v="704"/>
    <n v="8367.7199999999993"/>
    <s v="Female"/>
    <n v="13"/>
    <n v="17"/>
    <n v="19"/>
    <n v="8"/>
    <s v="Carrier A"/>
    <n v="2.2200000000000002"/>
    <x v="2"/>
    <s v="Kolkata"/>
    <n v="24"/>
    <n v="867"/>
    <n v="28"/>
    <n v="42.08"/>
    <s v="Fail"/>
    <n v="3.45"/>
    <x v="0"/>
    <x v="2"/>
    <n v="393.84"/>
    <n v="14.737282813481263"/>
    <s v="normal"/>
    <n v="19.571106094808126"/>
    <n v="30.964285714285715"/>
    <n v="20.60361216730038"/>
  </r>
  <r>
    <s v="skincare"/>
    <x v="67"/>
    <n v="87.76"/>
    <n v="16"/>
    <n v="513"/>
    <n v="9473.7999999999993"/>
    <s v="Unknown"/>
    <n v="12"/>
    <n v="9"/>
    <n v="71"/>
    <n v="9"/>
    <s v="Carrier C"/>
    <n v="9.15"/>
    <x v="1"/>
    <s v="Mumbai"/>
    <n v="10"/>
    <n v="198"/>
    <n v="11"/>
    <n v="7.06"/>
    <s v="Pass"/>
    <n v="0.13"/>
    <x v="3"/>
    <x v="1"/>
    <n v="169.27"/>
    <n v="10.738957504710068"/>
    <s v="normal"/>
    <n v="12.214682294879703"/>
    <n v="18"/>
    <n v="28.04532577903683"/>
  </r>
  <r>
    <s v="haircare"/>
    <x v="68"/>
    <n v="37.93"/>
    <n v="29"/>
    <n v="163"/>
    <n v="3550.22"/>
    <s v="Non-binary"/>
    <n v="0"/>
    <n v="8"/>
    <n v="58"/>
    <n v="8"/>
    <s v="Carrier B"/>
    <n v="1.19"/>
    <x v="4"/>
    <s v="Bangalore"/>
    <n v="2"/>
    <n v="375"/>
    <n v="18"/>
    <n v="97.11"/>
    <s v="Fail"/>
    <n v="1.98"/>
    <x v="2"/>
    <x v="2"/>
    <n v="299.70999999999998"/>
    <n v="3.4121833786895537"/>
    <s v="normal"/>
    <n v="3.8148524923702953"/>
    <n v="20.833333333333332"/>
    <n v="3.861600247142416"/>
  </r>
  <r>
    <s v="skincare"/>
    <x v="69"/>
    <n v="54.87"/>
    <n v="62"/>
    <n v="511"/>
    <n v="1752.38"/>
    <s v="Non-binary"/>
    <n v="95"/>
    <n v="1"/>
    <n v="27"/>
    <n v="3"/>
    <s v="Carrier B"/>
    <n v="9.7100000000000009"/>
    <x v="3"/>
    <s v="Kolkata"/>
    <n v="9"/>
    <n v="862"/>
    <n v="7"/>
    <n v="77.63"/>
    <s v="Pending"/>
    <n v="1.36"/>
    <x v="1"/>
    <x v="2"/>
    <n v="207.66"/>
    <n v="10.697090223989951"/>
    <s v="normal"/>
    <n v="9.8694756125486602"/>
    <n v="123.14285714285714"/>
    <n v="11.103954656704882"/>
  </r>
  <r>
    <s v="haircare"/>
    <x v="70"/>
    <n v="47.91"/>
    <n v="90"/>
    <n v="32"/>
    <n v="7014.89"/>
    <s v="Female"/>
    <n v="10"/>
    <n v="12"/>
    <n v="22"/>
    <n v="4"/>
    <s v="Carrier B"/>
    <n v="6.32"/>
    <x v="1"/>
    <s v="Bangalore"/>
    <n v="22"/>
    <n v="775"/>
    <n v="16"/>
    <n v="11.44"/>
    <s v="Pass"/>
    <n v="1.83"/>
    <x v="0"/>
    <x v="1"/>
    <n v="183.27"/>
    <n v="0.66987649152187556"/>
    <s v="normal"/>
    <n v="43.637387387387392"/>
    <n v="48.4375"/>
    <n v="67.744755244755254"/>
  </r>
  <r>
    <s v="cosmetics"/>
    <x v="71"/>
    <n v="6.38"/>
    <n v="14"/>
    <n v="637"/>
    <n v="8180.34"/>
    <s v="Female"/>
    <n v="76"/>
    <n v="2"/>
    <n v="26"/>
    <n v="6"/>
    <s v="Carrier A"/>
    <n v="9.23"/>
    <x v="4"/>
    <s v="Bangalore"/>
    <n v="2"/>
    <n v="258"/>
    <n v="10"/>
    <n v="30.66"/>
    <s v="Pending"/>
    <n v="2.08"/>
    <x v="0"/>
    <x v="2"/>
    <n v="405.17"/>
    <n v="13.334728909357336"/>
    <s v="normal"/>
    <n v="6.4677864126347453"/>
    <n v="25.8"/>
    <n v="8.4148727984344429"/>
  </r>
  <r>
    <s v="cosmetics"/>
    <x v="72"/>
    <n v="90.2"/>
    <n v="88"/>
    <n v="478"/>
    <n v="2633.12"/>
    <s v="Non-binary"/>
    <n v="57"/>
    <n v="29"/>
    <n v="77"/>
    <n v="9"/>
    <s v="Carrier A"/>
    <n v="6.6"/>
    <x v="1"/>
    <s v="Bangalore"/>
    <n v="21"/>
    <n v="152"/>
    <n v="11"/>
    <n v="55.76"/>
    <s v="Pending"/>
    <n v="3.21"/>
    <x v="2"/>
    <x v="0"/>
    <n v="677.94"/>
    <n v="10.006280092108017"/>
    <s v="normal"/>
    <n v="2.4374599101988452"/>
    <n v="13.818181818181818"/>
    <n v="2.7259684361549499"/>
  </r>
  <r>
    <s v="cosmetics"/>
    <x v="73"/>
    <n v="83.85"/>
    <n v="41"/>
    <n v="375"/>
    <n v="7910.89"/>
    <s v="Male"/>
    <n v="17"/>
    <n v="25"/>
    <n v="66"/>
    <n v="5"/>
    <s v="Carrier B"/>
    <n v="1.51"/>
    <x v="3"/>
    <s v="Chennai"/>
    <n v="13"/>
    <n v="444"/>
    <n v="4"/>
    <n v="46.87"/>
    <s v="Fail"/>
    <n v="4.62"/>
    <x v="0"/>
    <x v="2"/>
    <n v="866.47"/>
    <n v="7.85011513502198"/>
    <s v="normal"/>
    <n v="9.1773460107482432"/>
    <n v="111"/>
    <n v="9.4730104544484757"/>
  </r>
  <r>
    <s v="haircare"/>
    <x v="74"/>
    <n v="3.17"/>
    <n v="64"/>
    <n v="904"/>
    <n v="5709.95"/>
    <s v="Female"/>
    <n v="41"/>
    <n v="6"/>
    <n v="1"/>
    <n v="5"/>
    <s v="Carrier A"/>
    <n v="5.24"/>
    <x v="3"/>
    <s v="Delhi"/>
    <n v="1"/>
    <n v="919"/>
    <n v="9"/>
    <n v="80.58"/>
    <s v="Fail"/>
    <n v="0.4"/>
    <x v="2"/>
    <x v="2"/>
    <n v="341.55"/>
    <n v="18.924010885492986"/>
    <s v="normal"/>
    <n v="10.708459566534609"/>
    <n v="102.11111111111111"/>
    <n v="11.4048150905932"/>
  </r>
  <r>
    <s v="skincare"/>
    <x v="75"/>
    <n v="93"/>
    <n v="29"/>
    <n v="106"/>
    <n v="1889.07"/>
    <s v="Non-binary"/>
    <n v="16"/>
    <n v="20"/>
    <n v="56"/>
    <n v="10"/>
    <s v="Carrier C"/>
    <n v="2.4700000000000002"/>
    <x v="1"/>
    <s v="Chennai"/>
    <n v="25"/>
    <n v="759"/>
    <n v="11"/>
    <n v="48.06"/>
    <s v="Pass"/>
    <n v="2.0299999999999998"/>
    <x v="1"/>
    <x v="1"/>
    <n v="873.13"/>
    <n v="2.2189658781662129"/>
    <s v="normal"/>
    <n v="15.020779734811002"/>
    <n v="69"/>
    <n v="15.792759051186017"/>
  </r>
  <r>
    <s v="haircare"/>
    <x v="76"/>
    <n v="69.11"/>
    <n v="23"/>
    <n v="241"/>
    <n v="5328.38"/>
    <s v="Male"/>
    <n v="38"/>
    <n v="1"/>
    <n v="22"/>
    <n v="10"/>
    <s v="Carrier A"/>
    <n v="7.05"/>
    <x v="4"/>
    <s v="Bangalore"/>
    <n v="25"/>
    <n v="985"/>
    <n v="24"/>
    <n v="64.319999999999993"/>
    <s v="Pending"/>
    <n v="2.1800000000000002"/>
    <x v="2"/>
    <x v="2"/>
    <n v="997.41"/>
    <n v="5.045007326774126"/>
    <s v="normal"/>
    <n v="13.801317080005607"/>
    <n v="41.041666666666664"/>
    <n v="15.314054726368161"/>
  </r>
  <r>
    <s v="haircare"/>
    <x v="77"/>
    <n v="57.45"/>
    <n v="14"/>
    <n v="359"/>
    <n v="2483.7600000000002"/>
    <s v="Unknown"/>
    <n v="96"/>
    <n v="28"/>
    <n v="57"/>
    <n v="4"/>
    <s v="Carrier B"/>
    <n v="6.78"/>
    <x v="1"/>
    <s v="Kolkata"/>
    <n v="26"/>
    <n v="334"/>
    <n v="5"/>
    <n v="42.95"/>
    <s v="Pass"/>
    <n v="3.06"/>
    <x v="0"/>
    <x v="0"/>
    <n v="852.57"/>
    <n v="7.515176889261042"/>
    <s v="normal"/>
    <n v="6.7162678463703998"/>
    <n v="66.8"/>
    <n v="7.7764842840512216"/>
  </r>
  <r>
    <s v="haircare"/>
    <x v="78"/>
    <n v="6.31"/>
    <n v="50"/>
    <n v="946"/>
    <n v="1292.46"/>
    <s v="Unknown"/>
    <n v="5"/>
    <n v="4"/>
    <n v="51"/>
    <n v="5"/>
    <s v="Carrier B"/>
    <n v="8.4700000000000006"/>
    <x v="2"/>
    <s v="Mumbai"/>
    <n v="25"/>
    <n v="858"/>
    <n v="21"/>
    <n v="71.13"/>
    <s v="Pending"/>
    <n v="4.0999999999999996"/>
    <x v="3"/>
    <x v="1"/>
    <n v="323.58999999999997"/>
    <n v="19.803223780615447"/>
    <s v="normal"/>
    <n v="10.778894472361809"/>
    <n v="40.857142857142854"/>
    <n v="12.062420919443273"/>
  </r>
  <r>
    <s v="haircare"/>
    <x v="79"/>
    <n v="57.06"/>
    <n v="56"/>
    <n v="198"/>
    <n v="7888.72"/>
    <s v="Non-binary"/>
    <n v="31"/>
    <n v="25"/>
    <n v="20"/>
    <n v="1"/>
    <s v="Carrier B"/>
    <n v="6.5"/>
    <x v="0"/>
    <s v="Bangalore"/>
    <n v="5"/>
    <n v="228"/>
    <n v="12"/>
    <n v="57.87"/>
    <s v="Pending"/>
    <n v="0.17"/>
    <x v="1"/>
    <x v="1"/>
    <n v="351.5"/>
    <n v="4.1448607912916051"/>
    <s v="normal"/>
    <n v="3.5420226813733104"/>
    <n v="19"/>
    <n v="3.939865215137377"/>
  </r>
  <r>
    <s v="skincare"/>
    <x v="80"/>
    <n v="91.13"/>
    <n v="75"/>
    <n v="872"/>
    <n v="8651.67"/>
    <s v="Unknown"/>
    <n v="39"/>
    <n v="14"/>
    <n v="41"/>
    <n v="2"/>
    <s v="Carrier C"/>
    <n v="2.83"/>
    <x v="0"/>
    <s v="Chennai"/>
    <n v="8"/>
    <n v="202"/>
    <n v="5"/>
    <n v="76.959999999999994"/>
    <s v="Fail"/>
    <n v="2.85"/>
    <x v="3"/>
    <x v="0"/>
    <n v="787.78"/>
    <n v="18.25413439397111"/>
    <s v="normal"/>
    <n v="2.5316455696202533"/>
    <n v="40.4"/>
    <n v="2.624740124740125"/>
  </r>
  <r>
    <s v="haircare"/>
    <x v="81"/>
    <n v="72.819999999999993"/>
    <n v="9"/>
    <n v="774"/>
    <n v="4384.41"/>
    <s v="Unknown"/>
    <n v="48"/>
    <n v="6"/>
    <n v="8"/>
    <n v="5"/>
    <s v="Carrier B"/>
    <n v="4.07"/>
    <x v="0"/>
    <s v="Delhi"/>
    <n v="28"/>
    <n v="698"/>
    <n v="1"/>
    <n v="19.79"/>
    <s v="Pending"/>
    <n v="2.5499999999999998"/>
    <x v="2"/>
    <x v="0"/>
    <n v="276.77999999999997"/>
    <n v="16.202637638685367"/>
    <s v="normal"/>
    <n v="29.253981559094719"/>
    <n v="698"/>
    <n v="35.27033855482567"/>
  </r>
  <r>
    <s v="skincare"/>
    <x v="82"/>
    <n v="17.03"/>
    <n v="13"/>
    <n v="336"/>
    <n v="2943.38"/>
    <s v="Unknown"/>
    <n v="42"/>
    <n v="19"/>
    <n v="72"/>
    <n v="1"/>
    <s v="Carrier A"/>
    <n v="4.71"/>
    <x v="4"/>
    <s v="Mumbai"/>
    <n v="6"/>
    <n v="955"/>
    <n v="26"/>
    <n v="4.47"/>
    <s v="Pending"/>
    <n v="4.1399999999999997"/>
    <x v="0"/>
    <x v="1"/>
    <n v="589.98"/>
    <n v="7.0337031609796936"/>
    <s v="normal"/>
    <n v="104.03050108932462"/>
    <n v="36.730769230769234"/>
    <n v="213.64653243847877"/>
  </r>
  <r>
    <s v="haircare"/>
    <x v="83"/>
    <n v="68.91"/>
    <n v="82"/>
    <n v="663"/>
    <n v="2411.75"/>
    <s v="Unknown"/>
    <n v="65"/>
    <n v="24"/>
    <n v="7"/>
    <n v="8"/>
    <s v="Carrier B"/>
    <n v="4.95"/>
    <x v="1"/>
    <s v="Bangalore"/>
    <n v="20"/>
    <n v="443"/>
    <n v="5"/>
    <n v="97.73"/>
    <s v="Fail"/>
    <n v="0.77"/>
    <x v="0"/>
    <x v="2"/>
    <n v="682.97"/>
    <n v="13.87900355871886"/>
    <s v="normal"/>
    <n v="4.314374756525126"/>
    <n v="88.6"/>
    <n v="4.5328967563695892"/>
  </r>
  <r>
    <s v="haircare"/>
    <x v="84"/>
    <n v="89.1"/>
    <n v="99"/>
    <n v="618"/>
    <n v="2048.29"/>
    <s v="Unknown"/>
    <n v="73"/>
    <n v="26"/>
    <n v="80"/>
    <n v="10"/>
    <s v="Carrier A"/>
    <n v="8.3800000000000008"/>
    <x v="2"/>
    <s v="Chennai"/>
    <n v="24"/>
    <n v="589"/>
    <n v="22"/>
    <n v="33.81"/>
    <s v="Pass"/>
    <n v="4.84"/>
    <x v="1"/>
    <x v="0"/>
    <n v="465.46"/>
    <n v="12.936989742516223"/>
    <s v="normal"/>
    <n v="13.960654183455794"/>
    <n v="26.772727272727273"/>
    <n v="17.420881396036673"/>
  </r>
  <r>
    <s v="cosmetics"/>
    <x v="85"/>
    <n v="76.959999999999994"/>
    <n v="83"/>
    <n v="25"/>
    <n v="8684.61"/>
    <s v="Female"/>
    <n v="15"/>
    <n v="18"/>
    <n v="66"/>
    <n v="2"/>
    <s v="Carrier C"/>
    <n v="8.25"/>
    <x v="2"/>
    <s v="Chennai"/>
    <n v="4"/>
    <n v="211"/>
    <n v="2"/>
    <n v="69.930000000000007"/>
    <s v="Fail"/>
    <n v="1.37"/>
    <x v="0"/>
    <x v="0"/>
    <n v="842.69"/>
    <n v="0.5233410090014653"/>
    <s v="normal"/>
    <n v="2.6988999744180093"/>
    <n v="105.5"/>
    <n v="3.0173030173030169"/>
  </r>
  <r>
    <s v="skincare"/>
    <x v="86"/>
    <n v="20"/>
    <n v="18"/>
    <n v="223"/>
    <n v="1229.5899999999999"/>
    <s v="Unknown"/>
    <n v="32"/>
    <n v="14"/>
    <n v="22"/>
    <n v="6"/>
    <s v="Carrier B"/>
    <n v="1.45"/>
    <x v="1"/>
    <s v="Mumbai"/>
    <n v="4"/>
    <n v="569"/>
    <n v="18"/>
    <n v="74.61"/>
    <s v="Pass"/>
    <n v="2.0499999999999998"/>
    <x v="2"/>
    <x v="2"/>
    <n v="264.25"/>
    <n v="4.6682018002930707"/>
    <s v="normal"/>
    <n v="7.4809361030765187"/>
    <n v="31.611111111111111"/>
    <n v="7.6263235491221018"/>
  </r>
  <r>
    <s v="haircare"/>
    <x v="87"/>
    <n v="80.41"/>
    <n v="24"/>
    <n v="79"/>
    <n v="5133.8500000000004"/>
    <s v="Male"/>
    <n v="5"/>
    <n v="7"/>
    <n v="55"/>
    <n v="10"/>
    <s v="Carrier A"/>
    <n v="6.58"/>
    <x v="0"/>
    <s v="Chennai"/>
    <n v="27"/>
    <n v="523"/>
    <n v="17"/>
    <n v="28.7"/>
    <s v="Fail"/>
    <n v="3.69"/>
    <x v="3"/>
    <x v="0"/>
    <n v="879.36"/>
    <n v="1.6537575884446305"/>
    <s v="normal"/>
    <n v="14.824263038548752"/>
    <n v="30.764705882352942"/>
    <n v="18.222996515679444"/>
  </r>
  <r>
    <s v="cosmetics"/>
    <x v="88"/>
    <n v="75.27"/>
    <n v="58"/>
    <n v="737"/>
    <n v="9444.74"/>
    <s v="Male"/>
    <n v="60"/>
    <n v="18"/>
    <n v="85"/>
    <n v="7"/>
    <s v="Carrier A"/>
    <n v="3.8"/>
    <x v="4"/>
    <s v="Mumbai"/>
    <n v="21"/>
    <n v="953"/>
    <n v="11"/>
    <n v="68.180000000000007"/>
    <s v="Pending"/>
    <n v="0.72"/>
    <x v="3"/>
    <x v="2"/>
    <n v="103.92"/>
    <n v="15.428092945363197"/>
    <s v="normal"/>
    <n v="13.239788830230619"/>
    <n v="86.63636363636364"/>
    <n v="13.977706072161922"/>
  </r>
  <r>
    <s v="cosmetics"/>
    <x v="89"/>
    <n v="97.76"/>
    <n v="10"/>
    <n v="134"/>
    <n v="5924.68"/>
    <s v="Unknown"/>
    <n v="90"/>
    <n v="1"/>
    <n v="27"/>
    <n v="8"/>
    <s v="Carrier B"/>
    <n v="9.93"/>
    <x v="1"/>
    <s v="Kolkata"/>
    <n v="23"/>
    <n v="370"/>
    <n v="11"/>
    <n v="46.6"/>
    <s v="Pending"/>
    <n v="1.91"/>
    <x v="2"/>
    <x v="0"/>
    <n v="517.5"/>
    <n v="2.805107808247854"/>
    <s v="normal"/>
    <n v="6.5451972404033256"/>
    <n v="33.636363636363633"/>
    <n v="7.9399141630901289"/>
  </r>
  <r>
    <s v="skincare"/>
    <x v="90"/>
    <n v="13.88"/>
    <n v="56"/>
    <n v="320"/>
    <n v="9592.6299999999992"/>
    <s v="Non-binary"/>
    <n v="66"/>
    <n v="18"/>
    <n v="96"/>
    <n v="7"/>
    <s v="Carrier B"/>
    <n v="7.67"/>
    <x v="0"/>
    <s v="Bangalore"/>
    <n v="8"/>
    <n v="585"/>
    <n v="8"/>
    <n v="85.68"/>
    <s v="Pass"/>
    <n v="1.22"/>
    <x v="2"/>
    <x v="0"/>
    <n v="990.08"/>
    <n v="6.6987649152187565"/>
    <s v="normal"/>
    <n v="6.2667380824852703"/>
    <n v="73.125"/>
    <n v="6.8277310924369745"/>
  </r>
  <r>
    <s v="cosmetics"/>
    <x v="91"/>
    <n v="62.11"/>
    <n v="90"/>
    <n v="916"/>
    <n v="1935.21"/>
    <s v="Male"/>
    <n v="98"/>
    <n v="22"/>
    <n v="85"/>
    <n v="7"/>
    <s v="Carrier B"/>
    <n v="7.47"/>
    <x v="3"/>
    <s v="Delhi"/>
    <n v="5"/>
    <n v="207"/>
    <n v="28"/>
    <n v="39.770000000000003"/>
    <s v="Pending"/>
    <n v="0.63"/>
    <x v="2"/>
    <x v="0"/>
    <n v="996.78"/>
    <n v="19.17521456981369"/>
    <s v="normal"/>
    <n v="4.3818797629127859"/>
    <n v="7.3928571428571432"/>
    <n v="5.2049283379431728"/>
  </r>
  <r>
    <s v="cosmetics"/>
    <x v="92"/>
    <n v="47.71"/>
    <n v="44"/>
    <n v="276"/>
    <n v="2100.13"/>
    <s v="Male"/>
    <n v="90"/>
    <n v="25"/>
    <n v="10"/>
    <n v="8"/>
    <s v="Carrier B"/>
    <n v="4.47"/>
    <x v="4"/>
    <s v="Mumbai"/>
    <n v="4"/>
    <n v="671"/>
    <n v="29"/>
    <n v="62.61"/>
    <s v="Pass"/>
    <n v="0.33"/>
    <x v="2"/>
    <x v="0"/>
    <n v="230.09"/>
    <n v="5.777684739376177"/>
    <s v="normal"/>
    <n v="10.002981514609422"/>
    <n v="23.137931034482758"/>
    <n v="10.717137837406165"/>
  </r>
  <r>
    <s v="haircare"/>
    <x v="93"/>
    <n v="69.290000000000006"/>
    <n v="88"/>
    <n v="114"/>
    <n v="4531.3999999999996"/>
    <s v="Unknown"/>
    <n v="63"/>
    <n v="17"/>
    <n v="66"/>
    <n v="1"/>
    <s v="Carrier C"/>
    <n v="7.01"/>
    <x v="3"/>
    <s v="Chennai"/>
    <n v="21"/>
    <n v="824"/>
    <n v="20"/>
    <n v="35.630000000000003"/>
    <s v="Fail"/>
    <n v="4.17"/>
    <x v="1"/>
    <x v="2"/>
    <n v="823.52"/>
    <n v="2.3864350010466819"/>
    <s v="normal"/>
    <n v="19.324577861163228"/>
    <n v="41.2"/>
    <n v="23.126578725792868"/>
  </r>
  <r>
    <s v="cosmetics"/>
    <x v="94"/>
    <n v="3.04"/>
    <n v="97"/>
    <n v="987"/>
    <n v="7888.36"/>
    <s v="Unknown"/>
    <n v="77"/>
    <n v="26"/>
    <n v="72"/>
    <n v="9"/>
    <s v="Carrier B"/>
    <n v="6.94"/>
    <x v="4"/>
    <s v="Delhi"/>
    <n v="12"/>
    <n v="908"/>
    <n v="14"/>
    <n v="60.39"/>
    <s v="Pass"/>
    <n v="1.46"/>
    <x v="2"/>
    <x v="0"/>
    <n v="846.67"/>
    <n v="20.661503035377851"/>
    <s v="normal"/>
    <n v="13.485816129511361"/>
    <n v="64.857142857142861"/>
    <n v="15.035601920847823"/>
  </r>
  <r>
    <s v="haircare"/>
    <x v="95"/>
    <n v="77.900000000000006"/>
    <n v="65"/>
    <n v="672"/>
    <n v="7386.36"/>
    <s v="Unknown"/>
    <n v="15"/>
    <n v="14"/>
    <n v="26"/>
    <n v="9"/>
    <s v="Carrier B"/>
    <n v="8.6300000000000008"/>
    <x v="3"/>
    <s v="Mumbai"/>
    <n v="18"/>
    <n v="450"/>
    <n v="26"/>
    <n v="58.89"/>
    <s v="Pending"/>
    <n v="1.21"/>
    <x v="1"/>
    <x v="2"/>
    <n v="778.86"/>
    <n v="14.067406321959387"/>
    <s v="normal"/>
    <n v="6.6646919431279628"/>
    <n v="17.307692307692307"/>
    <n v="7.6413652572592969"/>
  </r>
  <r>
    <s v="cosmetics"/>
    <x v="96"/>
    <n v="24.42"/>
    <n v="29"/>
    <n v="324"/>
    <n v="7698.42"/>
    <s v="Non-binary"/>
    <n v="67"/>
    <n v="2"/>
    <n v="32"/>
    <n v="3"/>
    <s v="Carrier C"/>
    <n v="5.35"/>
    <x v="0"/>
    <s v="Mumbai"/>
    <n v="28"/>
    <n v="648"/>
    <n v="28"/>
    <n v="17.8"/>
    <s v="Pending"/>
    <n v="3.87"/>
    <x v="0"/>
    <x v="2"/>
    <n v="188.74"/>
    <n v="6.7824994766589901"/>
    <s v="normal"/>
    <n v="27.99136069114471"/>
    <n v="23.142857142857142"/>
    <n v="36.40449438202247"/>
  </r>
  <r>
    <s v="haircare"/>
    <x v="97"/>
    <n v="3.53"/>
    <n v="56"/>
    <n v="62"/>
    <n v="4370.92"/>
    <s v="Male"/>
    <n v="46"/>
    <n v="19"/>
    <n v="4"/>
    <n v="9"/>
    <s v="Carrier A"/>
    <n v="7.9"/>
    <x v="3"/>
    <s v="Mumbai"/>
    <n v="10"/>
    <n v="535"/>
    <n v="13"/>
    <n v="65.77"/>
    <s v="Fail"/>
    <n v="3.38"/>
    <x v="0"/>
    <x v="2"/>
    <n v="540.13"/>
    <n v="1.2978857023236341"/>
    <s v="normal"/>
    <n v="7.2621148364327404"/>
    <n v="41.153846153846153"/>
    <n v="8.1344077847042726"/>
  </r>
  <r>
    <s v="skincare"/>
    <x v="98"/>
    <n v="19.75"/>
    <n v="43"/>
    <n v="913"/>
    <n v="8525.9500000000007"/>
    <s v="Female"/>
    <n v="53"/>
    <n v="1"/>
    <n v="27"/>
    <n v="7"/>
    <s v="Carrier B"/>
    <n v="1.41"/>
    <x v="2"/>
    <s v="Chennai"/>
    <n v="28"/>
    <n v="581"/>
    <n v="9"/>
    <n v="5.6"/>
    <s v="Pending"/>
    <n v="2.91"/>
    <x v="2"/>
    <x v="2"/>
    <n v="882.2"/>
    <n v="19.112413648733515"/>
    <s v="normal"/>
    <n v="82.88159771754637"/>
    <n v="64.555555555555557"/>
    <n v="103.75"/>
  </r>
  <r>
    <s v="haircare"/>
    <x v="99"/>
    <n v="68.52"/>
    <n v="17"/>
    <n v="627"/>
    <n v="9185.19"/>
    <s v="Unknown"/>
    <n v="55"/>
    <n v="8"/>
    <n v="59"/>
    <n v="6"/>
    <s v="Carrier B"/>
    <n v="1.31"/>
    <x v="4"/>
    <s v="Chennai"/>
    <n v="29"/>
    <n v="921"/>
    <n v="2"/>
    <n v="38.07"/>
    <s v="Fail"/>
    <n v="0.35"/>
    <x v="2"/>
    <x v="0"/>
    <n v="210.74"/>
    <n v="13.12539250575675"/>
    <s v="normal"/>
    <n v="23.387506348400201"/>
    <n v="460.5"/>
    <n v="24.1922773837667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1F3A3-A0C6-447B-906D-4852F55D4485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64">
        <item x="36"/>
        <item x="26"/>
        <item x="12"/>
        <item x="35"/>
        <item x="23"/>
        <item x="27"/>
        <item x="10"/>
        <item x="25"/>
        <item x="55"/>
        <item x="50"/>
        <item x="41"/>
        <item x="62"/>
        <item x="58"/>
        <item x="38"/>
        <item x="18"/>
        <item x="16"/>
        <item x="59"/>
        <item x="4"/>
        <item x="28"/>
        <item x="48"/>
        <item x="20"/>
        <item x="21"/>
        <item x="2"/>
        <item x="9"/>
        <item x="11"/>
        <item x="24"/>
        <item x="29"/>
        <item x="61"/>
        <item x="6"/>
        <item x="53"/>
        <item x="47"/>
        <item x="0"/>
        <item x="54"/>
        <item x="60"/>
        <item x="7"/>
        <item x="19"/>
        <item x="40"/>
        <item x="49"/>
        <item x="30"/>
        <item x="52"/>
        <item x="43"/>
        <item x="3"/>
        <item x="46"/>
        <item x="22"/>
        <item x="14"/>
        <item x="32"/>
        <item x="8"/>
        <item x="44"/>
        <item x="15"/>
        <item x="57"/>
        <item x="5"/>
        <item x="51"/>
        <item x="45"/>
        <item x="42"/>
        <item x="39"/>
        <item x="37"/>
        <item x="13"/>
        <item x="1"/>
        <item x="31"/>
        <item x="33"/>
        <item x="34"/>
        <item x="56"/>
        <item x="17"/>
        <item t="default"/>
      </items>
    </pivotField>
    <pivotField showAll="0"/>
    <pivotField dataField="1"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 generate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B44ED2-3059-4A21-8EE0-84767F9F2E68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4" firstHeaderRow="1" firstDataRow="1" firstDataCol="1"/>
  <pivotFields count="24">
    <pivotField showAll="0"/>
    <pivotField axis="axisRow"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64">
        <item x="36"/>
        <item x="26"/>
        <item x="12"/>
        <item x="35"/>
        <item x="23"/>
        <item x="27"/>
        <item x="10"/>
        <item x="25"/>
        <item x="55"/>
        <item x="50"/>
        <item x="41"/>
        <item x="62"/>
        <item x="58"/>
        <item x="38"/>
        <item x="18"/>
        <item x="16"/>
        <item x="59"/>
        <item x="4"/>
        <item x="28"/>
        <item x="48"/>
        <item x="20"/>
        <item x="21"/>
        <item x="2"/>
        <item x="9"/>
        <item x="11"/>
        <item x="24"/>
        <item x="29"/>
        <item x="61"/>
        <item x="6"/>
        <item x="53"/>
        <item x="47"/>
        <item x="0"/>
        <item x="54"/>
        <item x="60"/>
        <item x="7"/>
        <item x="19"/>
        <item x="40"/>
        <item x="49"/>
        <item x="30"/>
        <item x="52"/>
        <item x="43"/>
        <item x="3"/>
        <item x="46"/>
        <item x="22"/>
        <item x="14"/>
        <item x="32"/>
        <item x="8"/>
        <item x="44"/>
        <item x="15"/>
        <item x="57"/>
        <item x="5"/>
        <item x="51"/>
        <item x="45"/>
        <item x="42"/>
        <item x="39"/>
        <item x="37"/>
        <item x="13"/>
        <item x="1"/>
        <item x="31"/>
        <item x="33"/>
        <item x="34"/>
        <item x="56"/>
        <item x="17"/>
        <item t="default"/>
      </items>
    </pivotField>
    <pivotField dataField="1"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Number of products sold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9599FD-003A-445F-B27F-3612C147229D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A3:B7" firstHeaderRow="1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showAll="0">
      <items count="100">
        <item x="5"/>
        <item x="28"/>
        <item x="93"/>
        <item x="74"/>
        <item x="96"/>
        <item x="6"/>
        <item x="24"/>
        <item x="23"/>
        <item x="4"/>
        <item x="78"/>
        <item x="71"/>
        <item x="16"/>
        <item x="30"/>
        <item x="36"/>
        <item x="2"/>
        <item x="43"/>
        <item x="63"/>
        <item x="89"/>
        <item x="50"/>
        <item x="1"/>
        <item x="10"/>
        <item x="13"/>
        <item x="60"/>
        <item x="39"/>
        <item x="97"/>
        <item x="85"/>
        <item x="56"/>
        <item x="37"/>
        <item x="95"/>
        <item x="66"/>
        <item x="51"/>
        <item x="46"/>
        <item x="22"/>
        <item x="53"/>
        <item x="54"/>
        <item x="65"/>
        <item x="45"/>
        <item x="18"/>
        <item x="15"/>
        <item x="34"/>
        <item x="68"/>
        <item x="25"/>
        <item x="7"/>
        <item x="42"/>
        <item x="91"/>
        <item x="70"/>
        <item x="57"/>
        <item x="31"/>
        <item x="19"/>
        <item x="44"/>
        <item x="61"/>
        <item x="38"/>
        <item x="69"/>
        <item x="79"/>
        <item x="77"/>
        <item x="58"/>
        <item x="3"/>
        <item x="90"/>
        <item x="29"/>
        <item x="59"/>
        <item x="9"/>
        <item x="33"/>
        <item x="98"/>
        <item x="8"/>
        <item x="82"/>
        <item x="76"/>
        <item x="92"/>
        <item x="0"/>
        <item x="12"/>
        <item x="62"/>
        <item x="81"/>
        <item x="87"/>
        <item x="48"/>
        <item x="84"/>
        <item x="94"/>
        <item x="49"/>
        <item x="32"/>
        <item x="55"/>
        <item x="86"/>
        <item x="40"/>
        <item x="17"/>
        <item x="73"/>
        <item x="21"/>
        <item x="35"/>
        <item x="67"/>
        <item x="83"/>
        <item x="64"/>
        <item x="72"/>
        <item x="11"/>
        <item x="80"/>
        <item x="27"/>
        <item x="75"/>
        <item x="47"/>
        <item x="20"/>
        <item x="26"/>
        <item x="88"/>
        <item x="52"/>
        <item x="41"/>
        <item x="14"/>
        <item t="default"/>
      </items>
    </pivotField>
    <pivotField showAll="0">
      <items count="64">
        <item x="36"/>
        <item x="26"/>
        <item x="12"/>
        <item x="35"/>
        <item x="23"/>
        <item x="27"/>
        <item x="10"/>
        <item x="25"/>
        <item x="55"/>
        <item x="50"/>
        <item x="41"/>
        <item x="62"/>
        <item x="58"/>
        <item x="38"/>
        <item x="18"/>
        <item x="16"/>
        <item x="59"/>
        <item x="4"/>
        <item x="28"/>
        <item x="48"/>
        <item x="20"/>
        <item x="21"/>
        <item x="2"/>
        <item x="9"/>
        <item x="11"/>
        <item x="24"/>
        <item x="29"/>
        <item x="61"/>
        <item x="6"/>
        <item x="53"/>
        <item x="47"/>
        <item x="0"/>
        <item x="54"/>
        <item x="60"/>
        <item x="7"/>
        <item x="19"/>
        <item x="40"/>
        <item x="49"/>
        <item x="30"/>
        <item x="52"/>
        <item x="43"/>
        <item x="3"/>
        <item x="46"/>
        <item x="22"/>
        <item x="14"/>
        <item x="32"/>
        <item x="8"/>
        <item x="44"/>
        <item x="15"/>
        <item x="57"/>
        <item x="5"/>
        <item x="51"/>
        <item x="45"/>
        <item x="42"/>
        <item x="39"/>
        <item x="37"/>
        <item x="13"/>
        <item x="1"/>
        <item x="31"/>
        <item x="33"/>
        <item x="34"/>
        <item x="56"/>
        <item x="17"/>
        <item t="default"/>
      </items>
    </pivotField>
    <pivotField showAll="0">
      <items count="97">
        <item x="2"/>
        <item x="44"/>
        <item x="83"/>
        <item x="47"/>
        <item x="69"/>
        <item x="93"/>
        <item x="6"/>
        <item x="85"/>
        <item x="3"/>
        <item x="55"/>
        <item x="48"/>
        <item x="74"/>
        <item x="89"/>
        <item x="60"/>
        <item x="17"/>
        <item x="63"/>
        <item x="25"/>
        <item x="5"/>
        <item x="8"/>
        <item x="50"/>
        <item x="41"/>
        <item x="67"/>
        <item x="31"/>
        <item x="38"/>
        <item x="19"/>
        <item x="78"/>
        <item x="24"/>
        <item x="84"/>
        <item x="56"/>
        <item x="75"/>
        <item x="52"/>
        <item x="62"/>
        <item x="13"/>
        <item x="29"/>
        <item x="61"/>
        <item x="88"/>
        <item x="16"/>
        <item x="20"/>
        <item x="92"/>
        <item x="30"/>
        <item x="12"/>
        <item x="27"/>
        <item x="26"/>
        <item x="76"/>
        <item x="72"/>
        <item x="59"/>
        <item x="23"/>
        <item x="28"/>
        <item x="7"/>
        <item x="35"/>
        <item x="64"/>
        <item x="15"/>
        <item x="71"/>
        <item x="58"/>
        <item x="68"/>
        <item x="66"/>
        <item x="40"/>
        <item x="14"/>
        <item x="42"/>
        <item x="21"/>
        <item x="34"/>
        <item x="33"/>
        <item x="82"/>
        <item x="18"/>
        <item x="53"/>
        <item x="95"/>
        <item x="49"/>
        <item x="70"/>
        <item x="81"/>
        <item x="91"/>
        <item x="54"/>
        <item x="65"/>
        <item x="37"/>
        <item x="1"/>
        <item x="86"/>
        <item x="80"/>
        <item x="32"/>
        <item x="0"/>
        <item x="51"/>
        <item x="45"/>
        <item x="4"/>
        <item x="79"/>
        <item x="22"/>
        <item x="57"/>
        <item x="73"/>
        <item x="46"/>
        <item x="94"/>
        <item x="87"/>
        <item x="43"/>
        <item x="39"/>
        <item x="77"/>
        <item x="11"/>
        <item x="36"/>
        <item x="9"/>
        <item x="90"/>
        <item x="10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ice" fld="2" subtotal="average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F3987-190B-4F4A-B8E1-148BFA735E9A}" name="inventory turnover per SKU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9" firstHeaderRow="1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64">
        <item x="36"/>
        <item x="26"/>
        <item x="12"/>
        <item x="35"/>
        <item x="23"/>
        <item x="27"/>
        <item x="10"/>
        <item x="25"/>
        <item x="55"/>
        <item x="50"/>
        <item x="41"/>
        <item x="62"/>
        <item x="58"/>
        <item x="38"/>
        <item x="18"/>
        <item x="16"/>
        <item x="59"/>
        <item x="4"/>
        <item x="28"/>
        <item x="48"/>
        <item x="20"/>
        <item x="21"/>
        <item x="2"/>
        <item x="9"/>
        <item x="11"/>
        <item x="24"/>
        <item x="29"/>
        <item x="61"/>
        <item x="6"/>
        <item x="53"/>
        <item x="47"/>
        <item x="0"/>
        <item x="54"/>
        <item x="60"/>
        <item x="7"/>
        <item x="19"/>
        <item x="40"/>
        <item x="49"/>
        <item x="30"/>
        <item x="52"/>
        <item x="43"/>
        <item x="3"/>
        <item x="46"/>
        <item x="22"/>
        <item x="14"/>
        <item x="32"/>
        <item x="8"/>
        <item x="44"/>
        <item x="15"/>
        <item x="57"/>
        <item x="5"/>
        <item x="51"/>
        <item x="45"/>
        <item x="42"/>
        <item x="39"/>
        <item x="37"/>
        <item x="13"/>
        <item x="1"/>
        <item x="31"/>
        <item x="33"/>
        <item x="34"/>
        <item x="56"/>
        <item x="17"/>
        <item t="default"/>
      </items>
    </pivotField>
    <pivotField dataField="1"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6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Number of products sold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10D2ED-37D4-41B6-9FF9-2A7F925974A0}" name="PivotTable6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5" firstHeaderRow="1" firstDataRow="1" firstDataCol="1"/>
  <pivotFields count="25">
    <pivotField showAll="0">
      <items count="5">
        <item x="2"/>
        <item x="0"/>
        <item x="1"/>
        <item x="3"/>
        <item t="default"/>
      </items>
    </pivotField>
    <pivotField axis="axisRow" showAll="0">
      <items count="102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>
      <items count="65">
        <item x="36"/>
        <item x="26"/>
        <item x="12"/>
        <item x="35"/>
        <item x="23"/>
        <item x="27"/>
        <item x="10"/>
        <item x="25"/>
        <item x="55"/>
        <item x="50"/>
        <item x="41"/>
        <item x="62"/>
        <item x="58"/>
        <item x="38"/>
        <item x="18"/>
        <item x="16"/>
        <item x="59"/>
        <item x="4"/>
        <item x="28"/>
        <item x="48"/>
        <item x="20"/>
        <item x="21"/>
        <item x="2"/>
        <item x="9"/>
        <item x="11"/>
        <item x="24"/>
        <item x="29"/>
        <item x="61"/>
        <item x="6"/>
        <item x="53"/>
        <item x="47"/>
        <item x="0"/>
        <item x="54"/>
        <item x="60"/>
        <item x="7"/>
        <item x="19"/>
        <item x="40"/>
        <item x="49"/>
        <item x="30"/>
        <item x="52"/>
        <item x="43"/>
        <item x="3"/>
        <item x="46"/>
        <item x="22"/>
        <item x="14"/>
        <item x="32"/>
        <item x="8"/>
        <item x="44"/>
        <item x="15"/>
        <item x="57"/>
        <item x="5"/>
        <item x="51"/>
        <item x="45"/>
        <item x="42"/>
        <item x="39"/>
        <item x="37"/>
        <item x="13"/>
        <item x="1"/>
        <item x="31"/>
        <item x="33"/>
        <item x="34"/>
        <item x="56"/>
        <item x="17"/>
        <item x="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4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Sum of inventory turnover per SKU" fld="2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D9EFC-2451-415E-A40B-1EE256D992E8}" name="PivotTable7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5" firstHeaderRow="1" firstDataRow="1" firstDataCol="1"/>
  <pivotFields count="26">
    <pivotField showAll="0">
      <items count="5">
        <item x="2"/>
        <item x="0"/>
        <item x="1"/>
        <item x="3"/>
        <item t="default"/>
      </items>
    </pivotField>
    <pivotField axis="axisRow" showAll="0">
      <items count="102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>
      <items count="65">
        <item x="36"/>
        <item x="26"/>
        <item x="12"/>
        <item x="35"/>
        <item x="23"/>
        <item x="27"/>
        <item x="10"/>
        <item x="25"/>
        <item x="55"/>
        <item x="50"/>
        <item x="41"/>
        <item x="62"/>
        <item x="58"/>
        <item x="38"/>
        <item x="18"/>
        <item x="16"/>
        <item x="59"/>
        <item x="4"/>
        <item x="28"/>
        <item x="48"/>
        <item x="20"/>
        <item x="21"/>
        <item x="2"/>
        <item x="9"/>
        <item x="11"/>
        <item x="24"/>
        <item x="29"/>
        <item x="61"/>
        <item x="6"/>
        <item x="53"/>
        <item x="47"/>
        <item x="0"/>
        <item x="54"/>
        <item x="60"/>
        <item x="7"/>
        <item x="19"/>
        <item x="40"/>
        <item x="49"/>
        <item x="30"/>
        <item x="52"/>
        <item x="43"/>
        <item x="3"/>
        <item x="46"/>
        <item x="22"/>
        <item x="14"/>
        <item x="32"/>
        <item x="8"/>
        <item x="44"/>
        <item x="15"/>
        <item x="57"/>
        <item x="5"/>
        <item x="51"/>
        <item x="45"/>
        <item x="42"/>
        <item x="39"/>
        <item x="37"/>
        <item x="13"/>
        <item x="1"/>
        <item x="31"/>
        <item x="33"/>
        <item x="34"/>
        <item x="56"/>
        <item x="17"/>
        <item x="63"/>
        <item t="default"/>
      </items>
    </pivotField>
    <pivotField showAll="0"/>
    <pivotField showAll="0"/>
    <pivotField showAll="0">
      <items count="6">
        <item x="1"/>
        <item x="3"/>
        <item x="0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>
      <items count="7">
        <item x="3"/>
        <item x="4"/>
        <item x="2"/>
        <item x="1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Sum of Stock level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439A0-FB8D-46D7-BB79-D2D133C46C35}" name="PivotTable8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8" firstHeaderRow="1" firstDataRow="1" firstDataCol="1"/>
  <pivotFields count="26"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1"/>
        <item x="3"/>
        <item x="0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 generated" fld="5" baseField="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1D7AD8-B6A1-41FC-B363-EAD0C01EED39}" name="PivotTable9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7">
        <item x="1"/>
        <item x="4"/>
        <item x="0"/>
        <item x="3"/>
        <item x="2"/>
        <item h="1"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Lead time" fld="15" subtotal="average" baseField="13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992E1-E424-4CE1-B2F7-B6D628CCEEDE}" name="PivotTable10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7">
        <item x="1"/>
        <item x="4"/>
        <item x="0"/>
        <item x="3"/>
        <item x="2"/>
        <item h="1" x="5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duction volumes" fld="1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94BFA-2D6E-4833-81BB-7559FBEC85E7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05" firstHeaderRow="1" firstDataRow="1" firstDataCol="1"/>
  <pivotFields count="29">
    <pivotField showAll="0"/>
    <pivotField axis="axisRow" showAll="0">
      <items count="102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Sum of costs" fld="2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E93A5D-C4A0-4200-AB1E-02E90C35155C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29">
    <pivotField showAll="0"/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2" showAll="0"/>
    <pivotField showAll="0"/>
    <pivotField numFmtId="164" showAll="0"/>
    <pivotField numFmtId="2" showAll="0"/>
    <pivotField numFmtId="2"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costs" fld="12" subtotal="average" baseField="2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5C488-92DC-43AA-87A4-5C6C054BBB40}" name="PivotTable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7" firstHeaderRow="1" firstDataRow="1" firstDataCol="1"/>
  <pivotFields count="29">
    <pivotField showAll="0"/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numFmtId="2" showAll="0"/>
    <pivotField showAll="0"/>
    <pivotField numFmtId="164" showAll="0"/>
    <pivotField numFmtId="2" showAll="0"/>
    <pivotField numFmtId="2" showAll="0"/>
  </pivotFields>
  <rowFields count="1">
    <field x="2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hipping times" fld="1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C4A916-6BE0-4D4B-B435-661EFD2EB490}" name="PivotTable1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D9" firstHeaderRow="0" firstDataRow="1" firstDataCol="1"/>
  <pivotFields count="24">
    <pivotField showAll="0"/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>
      <items count="64">
        <item x="36"/>
        <item x="26"/>
        <item x="12"/>
        <item x="35"/>
        <item x="23"/>
        <item x="27"/>
        <item x="10"/>
        <item x="25"/>
        <item x="55"/>
        <item x="50"/>
        <item x="41"/>
        <item x="62"/>
        <item x="58"/>
        <item x="38"/>
        <item x="18"/>
        <item x="16"/>
        <item x="59"/>
        <item x="4"/>
        <item x="28"/>
        <item x="48"/>
        <item x="20"/>
        <item x="21"/>
        <item x="2"/>
        <item x="9"/>
        <item x="11"/>
        <item x="24"/>
        <item x="29"/>
        <item x="61"/>
        <item x="6"/>
        <item x="53"/>
        <item x="47"/>
        <item x="0"/>
        <item x="54"/>
        <item x="60"/>
        <item x="7"/>
        <item x="19"/>
        <item x="40"/>
        <item x="49"/>
        <item x="30"/>
        <item x="52"/>
        <item x="43"/>
        <item x="3"/>
        <item x="46"/>
        <item x="22"/>
        <item x="14"/>
        <item x="32"/>
        <item x="8"/>
        <item x="44"/>
        <item x="15"/>
        <item x="57"/>
        <item x="5"/>
        <item x="51"/>
        <item x="45"/>
        <item x="42"/>
        <item x="39"/>
        <item x="37"/>
        <item x="13"/>
        <item x="1"/>
        <item x="31"/>
        <item x="33"/>
        <item x="34"/>
        <item x="56"/>
        <item x="17"/>
        <item t="default"/>
      </items>
    </pivotField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dataField="1"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hipping costs" fld="12" baseField="0" baseItem="0"/>
    <dataField name="Sum of Manufacturing costs" fld="18" baseField="0" baseItem="0"/>
    <dataField name="Sum of Lead times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D47D1D-5FF3-4734-84E4-E5B3F2C9CB8B}" autoFormatId="16" applyNumberFormats="0" applyBorderFormats="0" applyFontFormats="0" applyPatternFormats="0" applyAlignmentFormats="0" applyWidthHeightFormats="0">
  <queryTableRefresh nextId="25">
    <queryTableFields count="24">
      <queryTableField id="1" name="Product type" tableColumnId="1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6" name="Revenue generated" tableColumnId="6"/>
      <queryTableField id="7" name="Customer demographics" tableColumnId="7"/>
      <queryTableField id="8" name="Stock levels" tableColumnId="8"/>
      <queryTableField id="9" name="Lead times" tableColumnId="9"/>
      <queryTableField id="10" name="Order quantities" tableColumnId="10"/>
      <queryTableField id="11" name="Shipping times" tableColumnId="11"/>
      <queryTableField id="12" name="Shipping carriers" tableColumnId="12"/>
      <queryTableField id="13" name="Shipping costs" tableColumnId="13"/>
      <queryTableField id="14" name="Supplier name" tableColumnId="14"/>
      <queryTableField id="15" name="Location" tableColumnId="15"/>
      <queryTableField id="16" name="Lead time" tableColumnId="16"/>
      <queryTableField id="17" name="Production volumes" tableColumnId="17"/>
      <queryTableField id="18" name="Manufacturing lead time" tableColumnId="18"/>
      <queryTableField id="19" name="Manufacturing costs" tableColumnId="19"/>
      <queryTableField id="20" name="Inspection results" tableColumnId="20"/>
      <queryTableField id="21" name="Defect rates" tableColumnId="21"/>
      <queryTableField id="22" name="Transportation modes" tableColumnId="22"/>
      <queryTableField id="23" name="Routes" tableColumnId="23"/>
      <queryTableField id="24" name="Cost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109F9-1920-4409-B4D2-86A6B3575A13}" name="supply_chain_data" displayName="supply_chain_data" ref="A1:X102" tableType="queryTable" totalsRowCount="1">
  <autoFilter ref="A1:X101" xr:uid="{B01C2984-8FBF-4E01-BF8F-F26F7AF11806}"/>
  <tableColumns count="24">
    <tableColumn id="1" xr3:uid="{87B20EE1-EB79-42E1-BDD5-7425375AC754}" uniqueName="1" name="Product type" queryTableFieldId="1" dataDxfId="17" totalsRowDxfId="16"/>
    <tableColumn id="2" xr3:uid="{73105D18-D40F-4FF7-AB12-DE260AF11606}" uniqueName="2" name="SKU" queryTableFieldId="2" dataDxfId="15" totalsRowDxfId="14"/>
    <tableColumn id="3" xr3:uid="{3BF93D9D-D6F3-41D6-A609-F9FBCA36CD95}" uniqueName="3" name="Price" queryTableFieldId="3"/>
    <tableColumn id="4" xr3:uid="{09ED18C4-77B4-4990-A017-9E4FB203A92B}" uniqueName="4" name="Availability" queryTableFieldId="4"/>
    <tableColumn id="5" xr3:uid="{9FC25286-3A67-40FE-A689-DA58CD04D7A3}" uniqueName="5" name="Number of products sold" queryTableFieldId="5"/>
    <tableColumn id="6" xr3:uid="{71A71889-29C8-43FC-939F-71AE960E69BE}" uniqueName="6" name="Revenue generated" queryTableFieldId="6"/>
    <tableColumn id="7" xr3:uid="{D587B12C-EE49-4CB0-90A5-CADFD2F59E0E}" uniqueName="7" name="Customer demographics" queryTableFieldId="7" dataDxfId="13" totalsRowDxfId="12"/>
    <tableColumn id="8" xr3:uid="{F65DFDF7-95A3-4385-807F-203A68138F52}" uniqueName="8" name="Stock levels" queryTableFieldId="8"/>
    <tableColumn id="9" xr3:uid="{43D2C610-3999-4CEA-85AB-423161EB56EA}" uniqueName="9" name="Lead times" queryTableFieldId="9"/>
    <tableColumn id="10" xr3:uid="{D4CE32E2-161C-476F-8821-2D57E0D1EBFC}" uniqueName="10" name="Order quantities" queryTableFieldId="10"/>
    <tableColumn id="11" xr3:uid="{842EE2E6-D994-4C2A-B3E0-34940CB4062B}" uniqueName="11" name="Shipping times" queryTableFieldId="11"/>
    <tableColumn id="12" xr3:uid="{8BFE39E6-E5AB-4CD1-81D3-2E94D115B98D}" uniqueName="12" name="Shipping carriers" queryTableFieldId="12" dataDxfId="11" totalsRowDxfId="10"/>
    <tableColumn id="13" xr3:uid="{B555CED2-259D-46B2-B7E5-7920EDD23A83}" uniqueName="13" name="Shipping costs" queryTableFieldId="13"/>
    <tableColumn id="14" xr3:uid="{6BA9C762-F11F-4885-92EC-E084F6DECC5D}" uniqueName="14" name="Supplier name" queryTableFieldId="14" dataDxfId="9" totalsRowDxfId="8"/>
    <tableColumn id="15" xr3:uid="{2527785D-34EC-4606-88FD-8B5415FF70EA}" uniqueName="15" name="Location" queryTableFieldId="15" dataDxfId="7" totalsRowDxfId="6"/>
    <tableColumn id="16" xr3:uid="{7C41A928-1F55-4451-9AA6-E959063E74BE}" uniqueName="16" name="Lead time" queryTableFieldId="16"/>
    <tableColumn id="17" xr3:uid="{D083B25A-97F5-4FE1-A6C2-C220C6B1B642}" uniqueName="17" name="Production volumes" queryTableFieldId="17"/>
    <tableColumn id="18" xr3:uid="{47C85906-585B-4FA4-9497-0DFD341DC387}" uniqueName="18" name="Manufacturing lead time" queryTableFieldId="18"/>
    <tableColumn id="19" xr3:uid="{67A66909-8712-45CD-85B7-5CF80410BDF4}" uniqueName="19" name="Manufacturing costs" queryTableFieldId="19"/>
    <tableColumn id="20" xr3:uid="{511207E7-B9D7-45AD-A360-CD5B92761728}" uniqueName="20" name="Inspection results" queryTableFieldId="20" dataDxfId="5" totalsRowDxfId="4"/>
    <tableColumn id="21" xr3:uid="{99B049EB-5925-498C-BD14-1AEA5E58B0E7}" uniqueName="21" name="Defect rates" queryTableFieldId="21"/>
    <tableColumn id="22" xr3:uid="{FBA4815E-072B-4CBE-BFF1-8A0EC6A561FA}" uniqueName="22" name="Transportation modes" queryTableFieldId="22" dataDxfId="3" totalsRowDxfId="2"/>
    <tableColumn id="23" xr3:uid="{DC9566BF-93EE-4B1F-A6DF-69E7A3200B46}" uniqueName="23" name="Routes" queryTableFieldId="23" dataDxfId="1" totalsRowDxfId="0"/>
    <tableColumn id="24" xr3:uid="{3595639D-C54D-4706-B3CD-107FBEB5B1EE}" uniqueName="24" name="cost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2E4D-90E0-44F2-8995-BE77B2027B9E}">
  <dimension ref="A3:B7"/>
  <sheetViews>
    <sheetView workbookViewId="0">
      <selection activeCell="B24" sqref="B24"/>
    </sheetView>
  </sheetViews>
  <sheetFormatPr defaultRowHeight="14.25" x14ac:dyDescent="0.2"/>
  <cols>
    <col min="1" max="1" width="13.125" bestFit="1" customWidth="1"/>
    <col min="2" max="2" width="25.75" bestFit="1" customWidth="1"/>
    <col min="3" max="4" width="9.875" bestFit="1" customWidth="1"/>
    <col min="5" max="5" width="11.375" bestFit="1" customWidth="1"/>
  </cols>
  <sheetData>
    <row r="3" spans="1:2" x14ac:dyDescent="0.2">
      <c r="A3" s="3" t="s">
        <v>210</v>
      </c>
      <c r="B3" t="s">
        <v>212</v>
      </c>
    </row>
    <row r="4" spans="1:2" x14ac:dyDescent="0.2">
      <c r="A4" s="4" t="s">
        <v>56</v>
      </c>
      <c r="B4" s="1">
        <v>161521.26999999996</v>
      </c>
    </row>
    <row r="5" spans="1:2" x14ac:dyDescent="0.2">
      <c r="A5" s="4" t="s">
        <v>23</v>
      </c>
      <c r="B5" s="1">
        <v>174455.41999999998</v>
      </c>
    </row>
    <row r="6" spans="1:2" x14ac:dyDescent="0.2">
      <c r="A6" s="4" t="s">
        <v>32</v>
      </c>
      <c r="B6" s="1">
        <v>241628.17</v>
      </c>
    </row>
    <row r="7" spans="1:2" x14ac:dyDescent="0.2">
      <c r="A7" s="4" t="s">
        <v>211</v>
      </c>
      <c r="B7" s="1">
        <v>577604.86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D9F72-946C-406E-9765-8A7715ED5E1E}">
  <dimension ref="A3:B104"/>
  <sheetViews>
    <sheetView workbookViewId="0">
      <selection activeCell="B3" sqref="B3"/>
    </sheetView>
  </sheetViews>
  <sheetFormatPr defaultRowHeight="14.25" x14ac:dyDescent="0.2"/>
  <cols>
    <col min="1" max="1" width="13.125" bestFit="1" customWidth="1"/>
    <col min="2" max="2" width="30" bestFit="1" customWidth="1"/>
  </cols>
  <sheetData>
    <row r="3" spans="1:2" x14ac:dyDescent="0.2">
      <c r="A3" s="3" t="s">
        <v>210</v>
      </c>
      <c r="B3" t="s">
        <v>213</v>
      </c>
    </row>
    <row r="4" spans="1:2" x14ac:dyDescent="0.2">
      <c r="A4" s="4" t="s">
        <v>24</v>
      </c>
      <c r="B4" s="1">
        <v>802</v>
      </c>
    </row>
    <row r="5" spans="1:2" x14ac:dyDescent="0.2">
      <c r="A5" s="4" t="s">
        <v>33</v>
      </c>
      <c r="B5" s="1">
        <v>736</v>
      </c>
    </row>
    <row r="6" spans="1:2" x14ac:dyDescent="0.2">
      <c r="A6" s="4" t="s">
        <v>62</v>
      </c>
      <c r="B6" s="1">
        <v>996</v>
      </c>
    </row>
    <row r="7" spans="1:2" x14ac:dyDescent="0.2">
      <c r="A7" s="4" t="s">
        <v>64</v>
      </c>
      <c r="B7" s="1">
        <v>960</v>
      </c>
    </row>
    <row r="8" spans="1:2" x14ac:dyDescent="0.2">
      <c r="A8" s="4" t="s">
        <v>65</v>
      </c>
      <c r="B8" s="1">
        <v>336</v>
      </c>
    </row>
    <row r="9" spans="1:2" x14ac:dyDescent="0.2">
      <c r="A9" s="4" t="s">
        <v>66</v>
      </c>
      <c r="B9" s="1">
        <v>249</v>
      </c>
    </row>
    <row r="10" spans="1:2" x14ac:dyDescent="0.2">
      <c r="A10" s="4" t="s">
        <v>67</v>
      </c>
      <c r="B10" s="1">
        <v>562</v>
      </c>
    </row>
    <row r="11" spans="1:2" x14ac:dyDescent="0.2">
      <c r="A11" s="4" t="s">
        <v>68</v>
      </c>
      <c r="B11" s="1">
        <v>469</v>
      </c>
    </row>
    <row r="12" spans="1:2" x14ac:dyDescent="0.2">
      <c r="A12" s="4" t="s">
        <v>69</v>
      </c>
      <c r="B12" s="1">
        <v>280</v>
      </c>
    </row>
    <row r="13" spans="1:2" x14ac:dyDescent="0.2">
      <c r="A13" s="4" t="s">
        <v>70</v>
      </c>
      <c r="B13" s="1">
        <v>126</v>
      </c>
    </row>
    <row r="14" spans="1:2" x14ac:dyDescent="0.2">
      <c r="A14" s="4" t="s">
        <v>71</v>
      </c>
      <c r="B14" s="1">
        <v>620</v>
      </c>
    </row>
    <row r="15" spans="1:2" x14ac:dyDescent="0.2">
      <c r="A15" s="4" t="s">
        <v>72</v>
      </c>
      <c r="B15" s="1">
        <v>187</v>
      </c>
    </row>
    <row r="16" spans="1:2" x14ac:dyDescent="0.2">
      <c r="A16" s="4" t="s">
        <v>36</v>
      </c>
      <c r="B16" s="1">
        <v>8</v>
      </c>
    </row>
    <row r="17" spans="1:2" x14ac:dyDescent="0.2">
      <c r="A17" s="4" t="s">
        <v>73</v>
      </c>
      <c r="B17" s="1">
        <v>320</v>
      </c>
    </row>
    <row r="18" spans="1:2" x14ac:dyDescent="0.2">
      <c r="A18" s="4" t="s">
        <v>74</v>
      </c>
      <c r="B18" s="1">
        <v>601</v>
      </c>
    </row>
    <row r="19" spans="1:2" x14ac:dyDescent="0.2">
      <c r="A19" s="4" t="s">
        <v>75</v>
      </c>
      <c r="B19" s="1">
        <v>884</v>
      </c>
    </row>
    <row r="20" spans="1:2" x14ac:dyDescent="0.2">
      <c r="A20" s="4" t="s">
        <v>76</v>
      </c>
      <c r="B20" s="1">
        <v>391</v>
      </c>
    </row>
    <row r="21" spans="1:2" x14ac:dyDescent="0.2">
      <c r="A21" s="4" t="s">
        <v>77</v>
      </c>
      <c r="B21" s="1">
        <v>209</v>
      </c>
    </row>
    <row r="22" spans="1:2" x14ac:dyDescent="0.2">
      <c r="A22" s="4" t="s">
        <v>78</v>
      </c>
      <c r="B22" s="1">
        <v>142</v>
      </c>
    </row>
    <row r="23" spans="1:2" x14ac:dyDescent="0.2">
      <c r="A23" s="4" t="s">
        <v>79</v>
      </c>
      <c r="B23" s="1">
        <v>353</v>
      </c>
    </row>
    <row r="24" spans="1:2" x14ac:dyDescent="0.2">
      <c r="A24" s="4" t="s">
        <v>80</v>
      </c>
      <c r="B24" s="1">
        <v>352</v>
      </c>
    </row>
    <row r="25" spans="1:2" x14ac:dyDescent="0.2">
      <c r="A25" s="4" t="s">
        <v>81</v>
      </c>
      <c r="B25" s="1">
        <v>394</v>
      </c>
    </row>
    <row r="26" spans="1:2" x14ac:dyDescent="0.2">
      <c r="A26" s="4" t="s">
        <v>82</v>
      </c>
      <c r="B26" s="1">
        <v>253</v>
      </c>
    </row>
    <row r="27" spans="1:2" x14ac:dyDescent="0.2">
      <c r="A27" s="4" t="s">
        <v>41</v>
      </c>
      <c r="B27" s="1">
        <v>83</v>
      </c>
    </row>
    <row r="28" spans="1:2" x14ac:dyDescent="0.2">
      <c r="A28" s="4" t="s">
        <v>83</v>
      </c>
      <c r="B28" s="1">
        <v>327</v>
      </c>
    </row>
    <row r="29" spans="1:2" x14ac:dyDescent="0.2">
      <c r="A29" s="4" t="s">
        <v>84</v>
      </c>
      <c r="B29" s="1">
        <v>168</v>
      </c>
    </row>
    <row r="30" spans="1:2" x14ac:dyDescent="0.2">
      <c r="A30" s="4" t="s">
        <v>85</v>
      </c>
      <c r="B30" s="1">
        <v>781</v>
      </c>
    </row>
    <row r="31" spans="1:2" x14ac:dyDescent="0.2">
      <c r="A31" s="4" t="s">
        <v>86</v>
      </c>
      <c r="B31" s="1">
        <v>616</v>
      </c>
    </row>
    <row r="32" spans="1:2" x14ac:dyDescent="0.2">
      <c r="A32" s="4" t="s">
        <v>87</v>
      </c>
      <c r="B32" s="1">
        <v>602</v>
      </c>
    </row>
    <row r="33" spans="1:2" x14ac:dyDescent="0.2">
      <c r="A33" s="4" t="s">
        <v>88</v>
      </c>
      <c r="B33" s="1">
        <v>449</v>
      </c>
    </row>
    <row r="34" spans="1:2" x14ac:dyDescent="0.2">
      <c r="A34" s="4" t="s">
        <v>89</v>
      </c>
      <c r="B34" s="1">
        <v>963</v>
      </c>
    </row>
    <row r="35" spans="1:2" x14ac:dyDescent="0.2">
      <c r="A35" s="4" t="s">
        <v>90</v>
      </c>
      <c r="B35" s="1">
        <v>963</v>
      </c>
    </row>
    <row r="36" spans="1:2" x14ac:dyDescent="0.2">
      <c r="A36" s="4" t="s">
        <v>91</v>
      </c>
      <c r="B36" s="1">
        <v>705</v>
      </c>
    </row>
    <row r="37" spans="1:2" x14ac:dyDescent="0.2">
      <c r="A37" s="4" t="s">
        <v>92</v>
      </c>
      <c r="B37" s="1">
        <v>176</v>
      </c>
    </row>
    <row r="38" spans="1:2" x14ac:dyDescent="0.2">
      <c r="A38" s="4" t="s">
        <v>48</v>
      </c>
      <c r="B38" s="1">
        <v>871</v>
      </c>
    </row>
    <row r="39" spans="1:2" x14ac:dyDescent="0.2">
      <c r="A39" s="4" t="s">
        <v>93</v>
      </c>
      <c r="B39" s="1">
        <v>933</v>
      </c>
    </row>
    <row r="40" spans="1:2" x14ac:dyDescent="0.2">
      <c r="A40" s="4" t="s">
        <v>94</v>
      </c>
      <c r="B40" s="1">
        <v>556</v>
      </c>
    </row>
    <row r="41" spans="1:2" x14ac:dyDescent="0.2">
      <c r="A41" s="4" t="s">
        <v>95</v>
      </c>
      <c r="B41" s="1">
        <v>155</v>
      </c>
    </row>
    <row r="42" spans="1:2" x14ac:dyDescent="0.2">
      <c r="A42" s="4" t="s">
        <v>96</v>
      </c>
      <c r="B42" s="1">
        <v>598</v>
      </c>
    </row>
    <row r="43" spans="1:2" x14ac:dyDescent="0.2">
      <c r="A43" s="4" t="s">
        <v>97</v>
      </c>
      <c r="B43" s="1">
        <v>919</v>
      </c>
    </row>
    <row r="44" spans="1:2" x14ac:dyDescent="0.2">
      <c r="A44" s="4" t="s">
        <v>98</v>
      </c>
      <c r="B44" s="1">
        <v>24</v>
      </c>
    </row>
    <row r="45" spans="1:2" x14ac:dyDescent="0.2">
      <c r="A45" s="4" t="s">
        <v>99</v>
      </c>
      <c r="B45" s="1">
        <v>859</v>
      </c>
    </row>
    <row r="46" spans="1:2" x14ac:dyDescent="0.2">
      <c r="A46" s="4" t="s">
        <v>100</v>
      </c>
      <c r="B46" s="1">
        <v>910</v>
      </c>
    </row>
    <row r="47" spans="1:2" x14ac:dyDescent="0.2">
      <c r="A47" s="4" t="s">
        <v>101</v>
      </c>
      <c r="B47" s="1">
        <v>29</v>
      </c>
    </row>
    <row r="48" spans="1:2" x14ac:dyDescent="0.2">
      <c r="A48" s="4" t="s">
        <v>102</v>
      </c>
      <c r="B48" s="1">
        <v>99</v>
      </c>
    </row>
    <row r="49" spans="1:2" x14ac:dyDescent="0.2">
      <c r="A49" s="4" t="s">
        <v>50</v>
      </c>
      <c r="B49" s="1">
        <v>147</v>
      </c>
    </row>
    <row r="50" spans="1:2" x14ac:dyDescent="0.2">
      <c r="A50" s="4" t="s">
        <v>103</v>
      </c>
      <c r="B50" s="1">
        <v>633</v>
      </c>
    </row>
    <row r="51" spans="1:2" x14ac:dyDescent="0.2">
      <c r="A51" s="4" t="s">
        <v>104</v>
      </c>
      <c r="B51" s="1">
        <v>154</v>
      </c>
    </row>
    <row r="52" spans="1:2" x14ac:dyDescent="0.2">
      <c r="A52" s="4" t="s">
        <v>105</v>
      </c>
      <c r="B52" s="1">
        <v>820</v>
      </c>
    </row>
    <row r="53" spans="1:2" x14ac:dyDescent="0.2">
      <c r="A53" s="4" t="s">
        <v>106</v>
      </c>
      <c r="B53" s="1">
        <v>242</v>
      </c>
    </row>
    <row r="54" spans="1:2" x14ac:dyDescent="0.2">
      <c r="A54" s="4" t="s">
        <v>107</v>
      </c>
      <c r="B54" s="1">
        <v>622</v>
      </c>
    </row>
    <row r="55" spans="1:2" x14ac:dyDescent="0.2">
      <c r="A55" s="4" t="s">
        <v>108</v>
      </c>
      <c r="B55" s="1">
        <v>701</v>
      </c>
    </row>
    <row r="56" spans="1:2" x14ac:dyDescent="0.2">
      <c r="A56" s="4" t="s">
        <v>109</v>
      </c>
      <c r="B56" s="1">
        <v>93</v>
      </c>
    </row>
    <row r="57" spans="1:2" x14ac:dyDescent="0.2">
      <c r="A57" s="4" t="s">
        <v>110</v>
      </c>
      <c r="B57" s="1">
        <v>227</v>
      </c>
    </row>
    <row r="58" spans="1:2" x14ac:dyDescent="0.2">
      <c r="A58" s="4" t="s">
        <v>111</v>
      </c>
      <c r="B58" s="1">
        <v>896</v>
      </c>
    </row>
    <row r="59" spans="1:2" x14ac:dyDescent="0.2">
      <c r="A59" s="4" t="s">
        <v>112</v>
      </c>
      <c r="B59" s="1">
        <v>484</v>
      </c>
    </row>
    <row r="60" spans="1:2" x14ac:dyDescent="0.2">
      <c r="A60" s="4" t="s">
        <v>53</v>
      </c>
      <c r="B60" s="1">
        <v>65</v>
      </c>
    </row>
    <row r="61" spans="1:2" x14ac:dyDescent="0.2">
      <c r="A61" s="4" t="s">
        <v>113</v>
      </c>
      <c r="B61" s="1">
        <v>380</v>
      </c>
    </row>
    <row r="62" spans="1:2" x14ac:dyDescent="0.2">
      <c r="A62" s="4" t="s">
        <v>114</v>
      </c>
      <c r="B62" s="1">
        <v>117</v>
      </c>
    </row>
    <row r="63" spans="1:2" x14ac:dyDescent="0.2">
      <c r="A63" s="4" t="s">
        <v>115</v>
      </c>
      <c r="B63" s="1">
        <v>270</v>
      </c>
    </row>
    <row r="64" spans="1:2" x14ac:dyDescent="0.2">
      <c r="A64" s="4" t="s">
        <v>116</v>
      </c>
      <c r="B64" s="1">
        <v>246</v>
      </c>
    </row>
    <row r="65" spans="1:2" x14ac:dyDescent="0.2">
      <c r="A65" s="4" t="s">
        <v>117</v>
      </c>
      <c r="B65" s="1">
        <v>134</v>
      </c>
    </row>
    <row r="66" spans="1:2" x14ac:dyDescent="0.2">
      <c r="A66" s="4" t="s">
        <v>118</v>
      </c>
      <c r="B66" s="1">
        <v>457</v>
      </c>
    </row>
    <row r="67" spans="1:2" x14ac:dyDescent="0.2">
      <c r="A67" s="4" t="s">
        <v>119</v>
      </c>
      <c r="B67" s="1">
        <v>704</v>
      </c>
    </row>
    <row r="68" spans="1:2" x14ac:dyDescent="0.2">
      <c r="A68" s="4" t="s">
        <v>120</v>
      </c>
      <c r="B68" s="1">
        <v>513</v>
      </c>
    </row>
    <row r="69" spans="1:2" x14ac:dyDescent="0.2">
      <c r="A69" s="4" t="s">
        <v>121</v>
      </c>
      <c r="B69" s="1">
        <v>163</v>
      </c>
    </row>
    <row r="70" spans="1:2" x14ac:dyDescent="0.2">
      <c r="A70" s="4" t="s">
        <v>122</v>
      </c>
      <c r="B70" s="1">
        <v>511</v>
      </c>
    </row>
    <row r="71" spans="1:2" x14ac:dyDescent="0.2">
      <c r="A71" s="4" t="s">
        <v>57</v>
      </c>
      <c r="B71" s="1">
        <v>426</v>
      </c>
    </row>
    <row r="72" spans="1:2" x14ac:dyDescent="0.2">
      <c r="A72" s="4" t="s">
        <v>123</v>
      </c>
      <c r="B72" s="1">
        <v>32</v>
      </c>
    </row>
    <row r="73" spans="1:2" x14ac:dyDescent="0.2">
      <c r="A73" s="4" t="s">
        <v>124</v>
      </c>
      <c r="B73" s="1">
        <v>637</v>
      </c>
    </row>
    <row r="74" spans="1:2" x14ac:dyDescent="0.2">
      <c r="A74" s="4" t="s">
        <v>125</v>
      </c>
      <c r="B74" s="1">
        <v>478</v>
      </c>
    </row>
    <row r="75" spans="1:2" x14ac:dyDescent="0.2">
      <c r="A75" s="4" t="s">
        <v>126</v>
      </c>
      <c r="B75" s="1">
        <v>375</v>
      </c>
    </row>
    <row r="76" spans="1:2" x14ac:dyDescent="0.2">
      <c r="A76" s="4" t="s">
        <v>127</v>
      </c>
      <c r="B76" s="1">
        <v>904</v>
      </c>
    </row>
    <row r="77" spans="1:2" x14ac:dyDescent="0.2">
      <c r="A77" s="4" t="s">
        <v>128</v>
      </c>
      <c r="B77" s="1">
        <v>106</v>
      </c>
    </row>
    <row r="78" spans="1:2" x14ac:dyDescent="0.2">
      <c r="A78" s="4" t="s">
        <v>129</v>
      </c>
      <c r="B78" s="1">
        <v>241</v>
      </c>
    </row>
    <row r="79" spans="1:2" x14ac:dyDescent="0.2">
      <c r="A79" s="4" t="s">
        <v>130</v>
      </c>
      <c r="B79" s="1">
        <v>359</v>
      </c>
    </row>
    <row r="80" spans="1:2" x14ac:dyDescent="0.2">
      <c r="A80" s="4" t="s">
        <v>131</v>
      </c>
      <c r="B80" s="1">
        <v>946</v>
      </c>
    </row>
    <row r="81" spans="1:2" x14ac:dyDescent="0.2">
      <c r="A81" s="4" t="s">
        <v>132</v>
      </c>
      <c r="B81" s="1">
        <v>198</v>
      </c>
    </row>
    <row r="82" spans="1:2" x14ac:dyDescent="0.2">
      <c r="A82" s="4" t="s">
        <v>58</v>
      </c>
      <c r="B82" s="1">
        <v>150</v>
      </c>
    </row>
    <row r="83" spans="1:2" x14ac:dyDescent="0.2">
      <c r="A83" s="4" t="s">
        <v>133</v>
      </c>
      <c r="B83" s="1">
        <v>872</v>
      </c>
    </row>
    <row r="84" spans="1:2" x14ac:dyDescent="0.2">
      <c r="A84" s="4" t="s">
        <v>134</v>
      </c>
      <c r="B84" s="1">
        <v>774</v>
      </c>
    </row>
    <row r="85" spans="1:2" x14ac:dyDescent="0.2">
      <c r="A85" s="4" t="s">
        <v>135</v>
      </c>
      <c r="B85" s="1">
        <v>336</v>
      </c>
    </row>
    <row r="86" spans="1:2" x14ac:dyDescent="0.2">
      <c r="A86" s="4" t="s">
        <v>136</v>
      </c>
      <c r="B86" s="1">
        <v>663</v>
      </c>
    </row>
    <row r="87" spans="1:2" x14ac:dyDescent="0.2">
      <c r="A87" s="4" t="s">
        <v>137</v>
      </c>
      <c r="B87" s="1">
        <v>618</v>
      </c>
    </row>
    <row r="88" spans="1:2" x14ac:dyDescent="0.2">
      <c r="A88" s="4" t="s">
        <v>138</v>
      </c>
      <c r="B88" s="1">
        <v>25</v>
      </c>
    </row>
    <row r="89" spans="1:2" x14ac:dyDescent="0.2">
      <c r="A89" s="4" t="s">
        <v>139</v>
      </c>
      <c r="B89" s="1">
        <v>223</v>
      </c>
    </row>
    <row r="90" spans="1:2" x14ac:dyDescent="0.2">
      <c r="A90" s="4" t="s">
        <v>140</v>
      </c>
      <c r="B90" s="1">
        <v>79</v>
      </c>
    </row>
    <row r="91" spans="1:2" x14ac:dyDescent="0.2">
      <c r="A91" s="4" t="s">
        <v>141</v>
      </c>
      <c r="B91" s="1">
        <v>737</v>
      </c>
    </row>
    <row r="92" spans="1:2" x14ac:dyDescent="0.2">
      <c r="A92" s="4" t="s">
        <v>142</v>
      </c>
      <c r="B92" s="1">
        <v>134</v>
      </c>
    </row>
    <row r="93" spans="1:2" x14ac:dyDescent="0.2">
      <c r="A93" s="4" t="s">
        <v>59</v>
      </c>
      <c r="B93" s="1">
        <v>980</v>
      </c>
    </row>
    <row r="94" spans="1:2" x14ac:dyDescent="0.2">
      <c r="A94" s="4" t="s">
        <v>143</v>
      </c>
      <c r="B94" s="1">
        <v>320</v>
      </c>
    </row>
    <row r="95" spans="1:2" x14ac:dyDescent="0.2">
      <c r="A95" s="4" t="s">
        <v>144</v>
      </c>
      <c r="B95" s="1">
        <v>916</v>
      </c>
    </row>
    <row r="96" spans="1:2" x14ac:dyDescent="0.2">
      <c r="A96" s="4" t="s">
        <v>145</v>
      </c>
      <c r="B96" s="1">
        <v>276</v>
      </c>
    </row>
    <row r="97" spans="1:2" x14ac:dyDescent="0.2">
      <c r="A97" s="4" t="s">
        <v>146</v>
      </c>
      <c r="B97" s="1">
        <v>114</v>
      </c>
    </row>
    <row r="98" spans="1:2" x14ac:dyDescent="0.2">
      <c r="A98" s="4" t="s">
        <v>147</v>
      </c>
      <c r="B98" s="1">
        <v>987</v>
      </c>
    </row>
    <row r="99" spans="1:2" x14ac:dyDescent="0.2">
      <c r="A99" s="4" t="s">
        <v>148</v>
      </c>
      <c r="B99" s="1">
        <v>672</v>
      </c>
    </row>
    <row r="100" spans="1:2" x14ac:dyDescent="0.2">
      <c r="A100" s="4" t="s">
        <v>149</v>
      </c>
      <c r="B100" s="1">
        <v>324</v>
      </c>
    </row>
    <row r="101" spans="1:2" x14ac:dyDescent="0.2">
      <c r="A101" s="4" t="s">
        <v>150</v>
      </c>
      <c r="B101" s="1">
        <v>62</v>
      </c>
    </row>
    <row r="102" spans="1:2" x14ac:dyDescent="0.2">
      <c r="A102" s="4" t="s">
        <v>151</v>
      </c>
      <c r="B102" s="1">
        <v>913</v>
      </c>
    </row>
    <row r="103" spans="1:2" x14ac:dyDescent="0.2">
      <c r="A103" s="4" t="s">
        <v>152</v>
      </c>
      <c r="B103" s="1">
        <v>627</v>
      </c>
    </row>
    <row r="104" spans="1:2" x14ac:dyDescent="0.2">
      <c r="A104" s="4" t="s">
        <v>211</v>
      </c>
      <c r="B104" s="1">
        <v>46099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88EC-054B-436F-A696-6599728880DD}">
  <dimension ref="A3:B7"/>
  <sheetViews>
    <sheetView workbookViewId="0">
      <selection activeCell="B24" sqref="B24"/>
    </sheetView>
  </sheetViews>
  <sheetFormatPr defaultRowHeight="14.25" x14ac:dyDescent="0.2"/>
  <cols>
    <col min="1" max="1" width="13.125" bestFit="1" customWidth="1"/>
    <col min="2" max="2" width="15.75" bestFit="1" customWidth="1"/>
    <col min="3" max="100" width="16.125" bestFit="1" customWidth="1"/>
    <col min="101" max="102" width="11.375" bestFit="1" customWidth="1"/>
  </cols>
  <sheetData>
    <row r="3" spans="1:2" x14ac:dyDescent="0.2">
      <c r="A3" s="3" t="s">
        <v>210</v>
      </c>
      <c r="B3" t="s">
        <v>215</v>
      </c>
    </row>
    <row r="4" spans="1:2" x14ac:dyDescent="0.2">
      <c r="A4" s="4" t="s">
        <v>56</v>
      </c>
      <c r="B4" s="1">
        <v>57.361153846153847</v>
      </c>
    </row>
    <row r="5" spans="1:2" x14ac:dyDescent="0.2">
      <c r="A5" s="4" t="s">
        <v>23</v>
      </c>
      <c r="B5" s="1">
        <v>46.014117647058818</v>
      </c>
    </row>
    <row r="6" spans="1:2" x14ac:dyDescent="0.2">
      <c r="A6" s="4" t="s">
        <v>32</v>
      </c>
      <c r="B6" s="1">
        <v>47.259499999999989</v>
      </c>
    </row>
    <row r="7" spans="1:2" x14ac:dyDescent="0.2">
      <c r="A7" s="4" t="s">
        <v>211</v>
      </c>
      <c r="B7" s="1">
        <v>49.462499999999999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2AA1-20F9-45A4-B5D5-29778DF984BB}">
  <dimension ref="A1"/>
  <sheetViews>
    <sheetView workbookViewId="0">
      <selection activeCell="D23" sqref="D23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D4F7-DF43-4405-8B0E-F7E2F82022EB}">
  <dimension ref="A3:B19"/>
  <sheetViews>
    <sheetView workbookViewId="0">
      <selection activeCell="F4" sqref="F4"/>
    </sheetView>
  </sheetViews>
  <sheetFormatPr defaultRowHeight="14.25" x14ac:dyDescent="0.2"/>
  <cols>
    <col min="1" max="1" width="13.5" bestFit="1" customWidth="1"/>
    <col min="2" max="2" width="30" bestFit="1" customWidth="1"/>
  </cols>
  <sheetData>
    <row r="3" spans="1:2" x14ac:dyDescent="0.2">
      <c r="A3" s="3" t="s">
        <v>210</v>
      </c>
      <c r="B3" t="s">
        <v>213</v>
      </c>
    </row>
    <row r="4" spans="1:2" x14ac:dyDescent="0.2">
      <c r="A4" s="4" t="s">
        <v>56</v>
      </c>
      <c r="B4" s="1">
        <v>11757</v>
      </c>
    </row>
    <row r="5" spans="1:2" x14ac:dyDescent="0.2">
      <c r="A5" s="7" t="s">
        <v>34</v>
      </c>
      <c r="B5" s="1">
        <v>4012</v>
      </c>
    </row>
    <row r="6" spans="1:2" x14ac:dyDescent="0.2">
      <c r="A6" s="7" t="s">
        <v>54</v>
      </c>
      <c r="B6" s="1">
        <v>2304</v>
      </c>
    </row>
    <row r="7" spans="1:2" x14ac:dyDescent="0.2">
      <c r="A7" s="7" t="s">
        <v>25</v>
      </c>
      <c r="B7" s="1">
        <v>2607</v>
      </c>
    </row>
    <row r="8" spans="1:2" x14ac:dyDescent="0.2">
      <c r="A8" s="7" t="s">
        <v>37</v>
      </c>
      <c r="B8" s="1">
        <v>2834</v>
      </c>
    </row>
    <row r="9" spans="1:2" x14ac:dyDescent="0.2">
      <c r="A9" s="4" t="s">
        <v>23</v>
      </c>
      <c r="B9" s="1">
        <v>13611</v>
      </c>
    </row>
    <row r="10" spans="1:2" x14ac:dyDescent="0.2">
      <c r="A10" s="7" t="s">
        <v>34</v>
      </c>
      <c r="B10" s="1">
        <v>936</v>
      </c>
    </row>
    <row r="11" spans="1:2" x14ac:dyDescent="0.2">
      <c r="A11" s="7" t="s">
        <v>54</v>
      </c>
      <c r="B11" s="1">
        <v>2292</v>
      </c>
    </row>
    <row r="12" spans="1:2" x14ac:dyDescent="0.2">
      <c r="A12" s="7" t="s">
        <v>25</v>
      </c>
      <c r="B12" s="1">
        <v>2820</v>
      </c>
    </row>
    <row r="13" spans="1:2" x14ac:dyDescent="0.2">
      <c r="A13" s="7" t="s">
        <v>37</v>
      </c>
      <c r="B13" s="1">
        <v>7563</v>
      </c>
    </row>
    <row r="14" spans="1:2" x14ac:dyDescent="0.2">
      <c r="A14" s="4" t="s">
        <v>32</v>
      </c>
      <c r="B14" s="1">
        <v>20731</v>
      </c>
    </row>
    <row r="15" spans="1:2" x14ac:dyDescent="0.2">
      <c r="A15" s="7" t="s">
        <v>34</v>
      </c>
      <c r="B15" s="1">
        <v>7853</v>
      </c>
    </row>
    <row r="16" spans="1:2" x14ac:dyDescent="0.2">
      <c r="A16" s="7" t="s">
        <v>54</v>
      </c>
      <c r="B16" s="1">
        <v>2911</v>
      </c>
    </row>
    <row r="17" spans="1:2" x14ac:dyDescent="0.2">
      <c r="A17" s="7" t="s">
        <v>25</v>
      </c>
      <c r="B17" s="1">
        <v>5153</v>
      </c>
    </row>
    <row r="18" spans="1:2" x14ac:dyDescent="0.2">
      <c r="A18" s="7" t="s">
        <v>37</v>
      </c>
      <c r="B18" s="1">
        <v>4814</v>
      </c>
    </row>
    <row r="19" spans="1:2" x14ac:dyDescent="0.2">
      <c r="A19" s="4" t="s">
        <v>211</v>
      </c>
      <c r="B19" s="1">
        <v>46099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449A-123B-4F96-867F-FFC2CEE94751}">
  <dimension ref="A3:B105"/>
  <sheetViews>
    <sheetView workbookViewId="0">
      <selection activeCell="B4" sqref="B4"/>
    </sheetView>
  </sheetViews>
  <sheetFormatPr defaultRowHeight="14.25" x14ac:dyDescent="0.2"/>
  <cols>
    <col min="1" max="1" width="13.125" bestFit="1" customWidth="1"/>
    <col min="2" max="2" width="32.75" bestFit="1" customWidth="1"/>
  </cols>
  <sheetData>
    <row r="3" spans="1:2" x14ac:dyDescent="0.2">
      <c r="A3" s="3" t="s">
        <v>210</v>
      </c>
      <c r="B3" t="s">
        <v>217</v>
      </c>
    </row>
    <row r="4" spans="1:2" x14ac:dyDescent="0.2">
      <c r="A4" s="4" t="s">
        <v>24</v>
      </c>
      <c r="B4" s="1">
        <v>16.788779568767008</v>
      </c>
    </row>
    <row r="5" spans="1:2" x14ac:dyDescent="0.2">
      <c r="A5" s="4" t="s">
        <v>33</v>
      </c>
      <c r="B5" s="1">
        <v>15.407159305003139</v>
      </c>
    </row>
    <row r="6" spans="1:2" x14ac:dyDescent="0.2">
      <c r="A6" s="4" t="s">
        <v>62</v>
      </c>
      <c r="B6" s="1">
        <v>20.84990579861838</v>
      </c>
    </row>
    <row r="7" spans="1:2" x14ac:dyDescent="0.2">
      <c r="A7" s="4" t="s">
        <v>64</v>
      </c>
      <c r="B7" s="1">
        <v>20.096294745656269</v>
      </c>
    </row>
    <row r="8" spans="1:2" x14ac:dyDescent="0.2">
      <c r="A8" s="4" t="s">
        <v>65</v>
      </c>
      <c r="B8" s="1">
        <v>7.0337031609796936</v>
      </c>
    </row>
    <row r="9" spans="1:2" x14ac:dyDescent="0.2">
      <c r="A9" s="4" t="s">
        <v>66</v>
      </c>
      <c r="B9" s="1">
        <v>5.212476449654595</v>
      </c>
    </row>
    <row r="10" spans="1:2" x14ac:dyDescent="0.2">
      <c r="A10" s="4" t="s">
        <v>67</v>
      </c>
      <c r="B10" s="1">
        <v>11.76470588235294</v>
      </c>
    </row>
    <row r="11" spans="1:2" x14ac:dyDescent="0.2">
      <c r="A11" s="4" t="s">
        <v>68</v>
      </c>
      <c r="B11" s="1">
        <v>9.817877328867489</v>
      </c>
    </row>
    <row r="12" spans="1:2" x14ac:dyDescent="0.2">
      <c r="A12" s="4" t="s">
        <v>69</v>
      </c>
      <c r="B12" s="1">
        <v>5.8614193008164115</v>
      </c>
    </row>
    <row r="13" spans="1:2" x14ac:dyDescent="0.2">
      <c r="A13" s="4" t="s">
        <v>70</v>
      </c>
      <c r="B13" s="1">
        <v>2.637638685367385</v>
      </c>
    </row>
    <row r="14" spans="1:2" x14ac:dyDescent="0.2">
      <c r="A14" s="4" t="s">
        <v>71</v>
      </c>
      <c r="B14" s="1">
        <v>12.97885702323634</v>
      </c>
    </row>
    <row r="15" spans="1:2" x14ac:dyDescent="0.2">
      <c r="A15" s="4" t="s">
        <v>72</v>
      </c>
      <c r="B15" s="1">
        <v>3.9145907473309607</v>
      </c>
    </row>
    <row r="16" spans="1:2" x14ac:dyDescent="0.2">
      <c r="A16" s="4" t="s">
        <v>36</v>
      </c>
      <c r="B16" s="1">
        <v>0.16746912288046889</v>
      </c>
    </row>
    <row r="17" spans="1:2" x14ac:dyDescent="0.2">
      <c r="A17" s="4" t="s">
        <v>73</v>
      </c>
      <c r="B17" s="1">
        <v>6.6987649152187565</v>
      </c>
    </row>
    <row r="18" spans="1:2" x14ac:dyDescent="0.2">
      <c r="A18" s="4" t="s">
        <v>74</v>
      </c>
      <c r="B18" s="1">
        <v>12.581117856395226</v>
      </c>
    </row>
    <row r="19" spans="1:2" x14ac:dyDescent="0.2">
      <c r="A19" s="4" t="s">
        <v>75</v>
      </c>
      <c r="B19" s="1">
        <v>18.505338078291814</v>
      </c>
    </row>
    <row r="20" spans="1:2" x14ac:dyDescent="0.2">
      <c r="A20" s="4" t="s">
        <v>76</v>
      </c>
      <c r="B20" s="1">
        <v>8.185053380782918</v>
      </c>
    </row>
    <row r="21" spans="1:2" x14ac:dyDescent="0.2">
      <c r="A21" s="4" t="s">
        <v>77</v>
      </c>
      <c r="B21" s="1">
        <v>4.37513083525225</v>
      </c>
    </row>
    <row r="22" spans="1:2" x14ac:dyDescent="0.2">
      <c r="A22" s="4" t="s">
        <v>78</v>
      </c>
      <c r="B22" s="1">
        <v>2.972576931128323</v>
      </c>
    </row>
    <row r="23" spans="1:2" x14ac:dyDescent="0.2">
      <c r="A23" s="4" t="s">
        <v>79</v>
      </c>
      <c r="B23" s="1">
        <v>7.3895750471006902</v>
      </c>
    </row>
    <row r="24" spans="1:2" x14ac:dyDescent="0.2">
      <c r="A24" s="4" t="s">
        <v>80</v>
      </c>
      <c r="B24" s="1">
        <v>7.3686414067406316</v>
      </c>
    </row>
    <row r="25" spans="1:2" x14ac:dyDescent="0.2">
      <c r="A25" s="4" t="s">
        <v>81</v>
      </c>
      <c r="B25" s="1">
        <v>8.247854301863093</v>
      </c>
    </row>
    <row r="26" spans="1:2" x14ac:dyDescent="0.2">
      <c r="A26" s="4" t="s">
        <v>82</v>
      </c>
      <c r="B26" s="1">
        <v>5.2962110110948286</v>
      </c>
    </row>
    <row r="27" spans="1:2" x14ac:dyDescent="0.2">
      <c r="A27" s="4" t="s">
        <v>41</v>
      </c>
      <c r="B27" s="1">
        <v>1.7374921498848648</v>
      </c>
    </row>
    <row r="28" spans="1:2" x14ac:dyDescent="0.2">
      <c r="A28" s="4" t="s">
        <v>83</v>
      </c>
      <c r="B28" s="1">
        <v>6.845300397739166</v>
      </c>
    </row>
    <row r="29" spans="1:2" x14ac:dyDescent="0.2">
      <c r="A29" s="4" t="s">
        <v>84</v>
      </c>
      <c r="B29" s="1">
        <v>3.5168515804898468</v>
      </c>
    </row>
    <row r="30" spans="1:2" x14ac:dyDescent="0.2">
      <c r="A30" s="4" t="s">
        <v>85</v>
      </c>
      <c r="B30" s="1">
        <v>16.349173121205776</v>
      </c>
    </row>
    <row r="31" spans="1:2" x14ac:dyDescent="0.2">
      <c r="A31" s="4" t="s">
        <v>86</v>
      </c>
      <c r="B31" s="1">
        <v>12.895122461796106</v>
      </c>
    </row>
    <row r="32" spans="1:2" x14ac:dyDescent="0.2">
      <c r="A32" s="4" t="s">
        <v>87</v>
      </c>
      <c r="B32" s="1">
        <v>12.602051496755285</v>
      </c>
    </row>
    <row r="33" spans="1:2" x14ac:dyDescent="0.2">
      <c r="A33" s="4" t="s">
        <v>88</v>
      </c>
      <c r="B33" s="1">
        <v>9.3992045216663165</v>
      </c>
    </row>
    <row r="34" spans="1:2" x14ac:dyDescent="0.2">
      <c r="A34" s="4" t="s">
        <v>89</v>
      </c>
      <c r="B34" s="1">
        <v>20.159095666736444</v>
      </c>
    </row>
    <row r="35" spans="1:2" x14ac:dyDescent="0.2">
      <c r="A35" s="4" t="s">
        <v>90</v>
      </c>
      <c r="B35" s="1">
        <v>20.159095666736444</v>
      </c>
    </row>
    <row r="36" spans="1:2" x14ac:dyDescent="0.2">
      <c r="A36" s="4" t="s">
        <v>91</v>
      </c>
      <c r="B36" s="1">
        <v>14.758216453841323</v>
      </c>
    </row>
    <row r="37" spans="1:2" x14ac:dyDescent="0.2">
      <c r="A37" s="4" t="s">
        <v>92</v>
      </c>
      <c r="B37" s="1">
        <v>3.6843207033703158</v>
      </c>
    </row>
    <row r="38" spans="1:2" x14ac:dyDescent="0.2">
      <c r="A38" s="4" t="s">
        <v>48</v>
      </c>
      <c r="B38" s="1">
        <v>18.233200753611051</v>
      </c>
    </row>
    <row r="39" spans="1:2" x14ac:dyDescent="0.2">
      <c r="A39" s="4" t="s">
        <v>93</v>
      </c>
      <c r="B39" s="1">
        <v>19.531086455934688</v>
      </c>
    </row>
    <row r="40" spans="1:2" x14ac:dyDescent="0.2">
      <c r="A40" s="4" t="s">
        <v>94</v>
      </c>
      <c r="B40" s="1">
        <v>11.639104040192588</v>
      </c>
    </row>
    <row r="41" spans="1:2" x14ac:dyDescent="0.2">
      <c r="A41" s="4" t="s">
        <v>95</v>
      </c>
      <c r="B41" s="1">
        <v>3.2447142558090851</v>
      </c>
    </row>
    <row r="42" spans="1:2" x14ac:dyDescent="0.2">
      <c r="A42" s="4" t="s">
        <v>96</v>
      </c>
      <c r="B42" s="1">
        <v>12.518316935315051</v>
      </c>
    </row>
    <row r="43" spans="1:2" x14ac:dyDescent="0.2">
      <c r="A43" s="4" t="s">
        <v>97</v>
      </c>
      <c r="B43" s="1">
        <v>19.238015490893865</v>
      </c>
    </row>
    <row r="44" spans="1:2" x14ac:dyDescent="0.2">
      <c r="A44" s="4" t="s">
        <v>98</v>
      </c>
      <c r="B44" s="1">
        <v>0.50240736864140667</v>
      </c>
    </row>
    <row r="45" spans="1:2" x14ac:dyDescent="0.2">
      <c r="A45" s="4" t="s">
        <v>99</v>
      </c>
      <c r="B45" s="1">
        <v>17.981997069290347</v>
      </c>
    </row>
    <row r="46" spans="1:2" x14ac:dyDescent="0.2">
      <c r="A46" s="4" t="s">
        <v>100</v>
      </c>
      <c r="B46" s="1">
        <v>19.049612727653336</v>
      </c>
    </row>
    <row r="47" spans="1:2" x14ac:dyDescent="0.2">
      <c r="A47" s="4" t="s">
        <v>101</v>
      </c>
      <c r="B47" s="1">
        <v>0.6070755704416998</v>
      </c>
    </row>
    <row r="48" spans="1:2" x14ac:dyDescent="0.2">
      <c r="A48" s="4" t="s">
        <v>102</v>
      </c>
      <c r="B48" s="1">
        <v>2.0724303956458026</v>
      </c>
    </row>
    <row r="49" spans="1:2" x14ac:dyDescent="0.2">
      <c r="A49" s="4" t="s">
        <v>50</v>
      </c>
      <c r="B49" s="1">
        <v>3.0772451329286161</v>
      </c>
    </row>
    <row r="50" spans="1:2" x14ac:dyDescent="0.2">
      <c r="A50" s="4" t="s">
        <v>103</v>
      </c>
      <c r="B50" s="1">
        <v>13.250994347917102</v>
      </c>
    </row>
    <row r="51" spans="1:2" x14ac:dyDescent="0.2">
      <c r="A51" s="4" t="s">
        <v>104</v>
      </c>
      <c r="B51" s="1">
        <v>3.2237806154490265</v>
      </c>
    </row>
    <row r="52" spans="1:2" x14ac:dyDescent="0.2">
      <c r="A52" s="4" t="s">
        <v>105</v>
      </c>
      <c r="B52" s="1">
        <v>17.165585095248062</v>
      </c>
    </row>
    <row r="53" spans="1:2" x14ac:dyDescent="0.2">
      <c r="A53" s="4" t="s">
        <v>106</v>
      </c>
      <c r="B53" s="1">
        <v>5.0659409671341846</v>
      </c>
    </row>
    <row r="54" spans="1:2" x14ac:dyDescent="0.2">
      <c r="A54" s="4" t="s">
        <v>107</v>
      </c>
      <c r="B54" s="1">
        <v>13.020724303956458</v>
      </c>
    </row>
    <row r="55" spans="1:2" x14ac:dyDescent="0.2">
      <c r="A55" s="4" t="s">
        <v>108</v>
      </c>
      <c r="B55" s="1">
        <v>14.674481892401088</v>
      </c>
    </row>
    <row r="56" spans="1:2" x14ac:dyDescent="0.2">
      <c r="A56" s="4" t="s">
        <v>109</v>
      </c>
      <c r="B56" s="1">
        <v>1.946828553485451</v>
      </c>
    </row>
    <row r="57" spans="1:2" x14ac:dyDescent="0.2">
      <c r="A57" s="4" t="s">
        <v>110</v>
      </c>
      <c r="B57" s="1">
        <v>4.7519363617333052</v>
      </c>
    </row>
    <row r="58" spans="1:2" x14ac:dyDescent="0.2">
      <c r="A58" s="4" t="s">
        <v>111</v>
      </c>
      <c r="B58" s="1">
        <v>18.756541762612517</v>
      </c>
    </row>
    <row r="59" spans="1:2" x14ac:dyDescent="0.2">
      <c r="A59" s="4" t="s">
        <v>112</v>
      </c>
      <c r="B59" s="1">
        <v>10.131881934268369</v>
      </c>
    </row>
    <row r="60" spans="1:2" x14ac:dyDescent="0.2">
      <c r="A60" s="4" t="s">
        <v>53</v>
      </c>
      <c r="B60" s="1">
        <v>1.3606866234038097</v>
      </c>
    </row>
    <row r="61" spans="1:2" x14ac:dyDescent="0.2">
      <c r="A61" s="4" t="s">
        <v>113</v>
      </c>
      <c r="B61" s="1">
        <v>7.9547833368222731</v>
      </c>
    </row>
    <row r="62" spans="1:2" x14ac:dyDescent="0.2">
      <c r="A62" s="4" t="s">
        <v>114</v>
      </c>
      <c r="B62" s="1">
        <v>2.4492359221268578</v>
      </c>
    </row>
    <row r="63" spans="1:2" x14ac:dyDescent="0.2">
      <c r="A63" s="4" t="s">
        <v>115</v>
      </c>
      <c r="B63" s="1">
        <v>5.6520828972158252</v>
      </c>
    </row>
    <row r="64" spans="1:2" x14ac:dyDescent="0.2">
      <c r="A64" s="4" t="s">
        <v>116</v>
      </c>
      <c r="B64" s="1">
        <v>5.1496755285744191</v>
      </c>
    </row>
    <row r="65" spans="1:2" x14ac:dyDescent="0.2">
      <c r="A65" s="4" t="s">
        <v>117</v>
      </c>
      <c r="B65" s="1">
        <v>2.805107808247854</v>
      </c>
    </row>
    <row r="66" spans="1:2" x14ac:dyDescent="0.2">
      <c r="A66" s="4" t="s">
        <v>118</v>
      </c>
      <c r="B66" s="1">
        <v>9.5666736445467855</v>
      </c>
    </row>
    <row r="67" spans="1:2" x14ac:dyDescent="0.2">
      <c r="A67" s="4" t="s">
        <v>119</v>
      </c>
      <c r="B67" s="1">
        <v>14.737282813481263</v>
      </c>
    </row>
    <row r="68" spans="1:2" x14ac:dyDescent="0.2">
      <c r="A68" s="4" t="s">
        <v>120</v>
      </c>
      <c r="B68" s="1">
        <v>10.738957504710068</v>
      </c>
    </row>
    <row r="69" spans="1:2" x14ac:dyDescent="0.2">
      <c r="A69" s="4" t="s">
        <v>121</v>
      </c>
      <c r="B69" s="1">
        <v>3.4121833786895537</v>
      </c>
    </row>
    <row r="70" spans="1:2" x14ac:dyDescent="0.2">
      <c r="A70" s="4" t="s">
        <v>122</v>
      </c>
      <c r="B70" s="1">
        <v>10.697090223989951</v>
      </c>
    </row>
    <row r="71" spans="1:2" x14ac:dyDescent="0.2">
      <c r="A71" s="4" t="s">
        <v>57</v>
      </c>
      <c r="B71" s="1">
        <v>8.917730793384969</v>
      </c>
    </row>
    <row r="72" spans="1:2" x14ac:dyDescent="0.2">
      <c r="A72" s="4" t="s">
        <v>123</v>
      </c>
      <c r="B72" s="1">
        <v>0.66987649152187556</v>
      </c>
    </row>
    <row r="73" spans="1:2" x14ac:dyDescent="0.2">
      <c r="A73" s="4" t="s">
        <v>124</v>
      </c>
      <c r="B73" s="1">
        <v>13.334728909357336</v>
      </c>
    </row>
    <row r="74" spans="1:2" x14ac:dyDescent="0.2">
      <c r="A74" s="4" t="s">
        <v>125</v>
      </c>
      <c r="B74" s="1">
        <v>10.006280092108017</v>
      </c>
    </row>
    <row r="75" spans="1:2" x14ac:dyDescent="0.2">
      <c r="A75" s="4" t="s">
        <v>126</v>
      </c>
      <c r="B75" s="1">
        <v>7.85011513502198</v>
      </c>
    </row>
    <row r="76" spans="1:2" x14ac:dyDescent="0.2">
      <c r="A76" s="4" t="s">
        <v>127</v>
      </c>
      <c r="B76" s="1">
        <v>18.924010885492986</v>
      </c>
    </row>
    <row r="77" spans="1:2" x14ac:dyDescent="0.2">
      <c r="A77" s="4" t="s">
        <v>128</v>
      </c>
      <c r="B77" s="1">
        <v>2.2189658781662129</v>
      </c>
    </row>
    <row r="78" spans="1:2" x14ac:dyDescent="0.2">
      <c r="A78" s="4" t="s">
        <v>129</v>
      </c>
      <c r="B78" s="1">
        <v>5.045007326774126</v>
      </c>
    </row>
    <row r="79" spans="1:2" x14ac:dyDescent="0.2">
      <c r="A79" s="4" t="s">
        <v>130</v>
      </c>
      <c r="B79" s="1">
        <v>7.515176889261042</v>
      </c>
    </row>
    <row r="80" spans="1:2" x14ac:dyDescent="0.2">
      <c r="A80" s="4" t="s">
        <v>131</v>
      </c>
      <c r="B80" s="1">
        <v>19.803223780615447</v>
      </c>
    </row>
    <row r="81" spans="1:2" x14ac:dyDescent="0.2">
      <c r="A81" s="4" t="s">
        <v>132</v>
      </c>
      <c r="B81" s="1">
        <v>4.1448607912916051</v>
      </c>
    </row>
    <row r="82" spans="1:2" x14ac:dyDescent="0.2">
      <c r="A82" s="4" t="s">
        <v>58</v>
      </c>
      <c r="B82" s="1">
        <v>3.140046054008792</v>
      </c>
    </row>
    <row r="83" spans="1:2" x14ac:dyDescent="0.2">
      <c r="A83" s="4" t="s">
        <v>133</v>
      </c>
      <c r="B83" s="1">
        <v>18.25413439397111</v>
      </c>
    </row>
    <row r="84" spans="1:2" x14ac:dyDescent="0.2">
      <c r="A84" s="4" t="s">
        <v>134</v>
      </c>
      <c r="B84" s="1">
        <v>16.202637638685367</v>
      </c>
    </row>
    <row r="85" spans="1:2" x14ac:dyDescent="0.2">
      <c r="A85" s="4" t="s">
        <v>135</v>
      </c>
      <c r="B85" s="1">
        <v>7.0337031609796936</v>
      </c>
    </row>
    <row r="86" spans="1:2" x14ac:dyDescent="0.2">
      <c r="A86" s="4" t="s">
        <v>136</v>
      </c>
      <c r="B86" s="1">
        <v>13.87900355871886</v>
      </c>
    </row>
    <row r="87" spans="1:2" x14ac:dyDescent="0.2">
      <c r="A87" s="4" t="s">
        <v>137</v>
      </c>
      <c r="B87" s="1">
        <v>12.936989742516223</v>
      </c>
    </row>
    <row r="88" spans="1:2" x14ac:dyDescent="0.2">
      <c r="A88" s="4" t="s">
        <v>138</v>
      </c>
      <c r="B88" s="1">
        <v>0.5233410090014653</v>
      </c>
    </row>
    <row r="89" spans="1:2" x14ac:dyDescent="0.2">
      <c r="A89" s="4" t="s">
        <v>139</v>
      </c>
      <c r="B89" s="1">
        <v>4.6682018002930707</v>
      </c>
    </row>
    <row r="90" spans="1:2" x14ac:dyDescent="0.2">
      <c r="A90" s="4" t="s">
        <v>140</v>
      </c>
      <c r="B90" s="1">
        <v>1.6537575884446305</v>
      </c>
    </row>
    <row r="91" spans="1:2" x14ac:dyDescent="0.2">
      <c r="A91" s="4" t="s">
        <v>141</v>
      </c>
      <c r="B91" s="1">
        <v>15.428092945363197</v>
      </c>
    </row>
    <row r="92" spans="1:2" x14ac:dyDescent="0.2">
      <c r="A92" s="4" t="s">
        <v>142</v>
      </c>
      <c r="B92" s="1">
        <v>2.805107808247854</v>
      </c>
    </row>
    <row r="93" spans="1:2" x14ac:dyDescent="0.2">
      <c r="A93" s="4" t="s">
        <v>59</v>
      </c>
      <c r="B93" s="1">
        <v>20.514967552857442</v>
      </c>
    </row>
    <row r="94" spans="1:2" x14ac:dyDescent="0.2">
      <c r="A94" s="4" t="s">
        <v>143</v>
      </c>
      <c r="B94" s="1">
        <v>6.6987649152187565</v>
      </c>
    </row>
    <row r="95" spans="1:2" x14ac:dyDescent="0.2">
      <c r="A95" s="4" t="s">
        <v>144</v>
      </c>
      <c r="B95" s="1">
        <v>19.17521456981369</v>
      </c>
    </row>
    <row r="96" spans="1:2" x14ac:dyDescent="0.2">
      <c r="A96" s="4" t="s">
        <v>145</v>
      </c>
      <c r="B96" s="1">
        <v>5.777684739376177</v>
      </c>
    </row>
    <row r="97" spans="1:2" x14ac:dyDescent="0.2">
      <c r="A97" s="4" t="s">
        <v>146</v>
      </c>
      <c r="B97" s="1">
        <v>2.3864350010466819</v>
      </c>
    </row>
    <row r="98" spans="1:2" x14ac:dyDescent="0.2">
      <c r="A98" s="4" t="s">
        <v>147</v>
      </c>
      <c r="B98" s="1">
        <v>20.661503035377851</v>
      </c>
    </row>
    <row r="99" spans="1:2" x14ac:dyDescent="0.2">
      <c r="A99" s="4" t="s">
        <v>148</v>
      </c>
      <c r="B99" s="1">
        <v>14.067406321959387</v>
      </c>
    </row>
    <row r="100" spans="1:2" x14ac:dyDescent="0.2">
      <c r="A100" s="4" t="s">
        <v>149</v>
      </c>
      <c r="B100" s="1">
        <v>6.7824994766589901</v>
      </c>
    </row>
    <row r="101" spans="1:2" x14ac:dyDescent="0.2">
      <c r="A101" s="4" t="s">
        <v>150</v>
      </c>
      <c r="B101" s="1">
        <v>1.2978857023236341</v>
      </c>
    </row>
    <row r="102" spans="1:2" x14ac:dyDescent="0.2">
      <c r="A102" s="4" t="s">
        <v>151</v>
      </c>
      <c r="B102" s="1">
        <v>19.112413648733515</v>
      </c>
    </row>
    <row r="103" spans="1:2" x14ac:dyDescent="0.2">
      <c r="A103" s="4" t="s">
        <v>152</v>
      </c>
      <c r="B103" s="1">
        <v>13.12539250575675</v>
      </c>
    </row>
    <row r="104" spans="1:2" x14ac:dyDescent="0.2">
      <c r="A104" s="4" t="s">
        <v>218</v>
      </c>
      <c r="B104" s="1"/>
    </row>
    <row r="105" spans="1:2" x14ac:dyDescent="0.2">
      <c r="A105" s="4" t="s">
        <v>211</v>
      </c>
      <c r="B105" s="1">
        <v>965.01988695834166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B481-3FB5-400B-90A2-6AEB2AA4FB24}">
  <dimension ref="A3:B105"/>
  <sheetViews>
    <sheetView workbookViewId="0">
      <selection activeCell="B3" sqref="B3"/>
    </sheetView>
  </sheetViews>
  <sheetFormatPr defaultRowHeight="14.25" x14ac:dyDescent="0.2"/>
  <cols>
    <col min="1" max="1" width="13.125" bestFit="1" customWidth="1"/>
    <col min="2" max="2" width="18.625" bestFit="1" customWidth="1"/>
  </cols>
  <sheetData>
    <row r="3" spans="1:2" x14ac:dyDescent="0.2">
      <c r="A3" s="3" t="s">
        <v>210</v>
      </c>
      <c r="B3" t="s">
        <v>214</v>
      </c>
    </row>
    <row r="4" spans="1:2" x14ac:dyDescent="0.2">
      <c r="A4" s="4" t="s">
        <v>24</v>
      </c>
      <c r="B4" s="1">
        <v>58</v>
      </c>
    </row>
    <row r="5" spans="1:2" x14ac:dyDescent="0.2">
      <c r="A5" s="4" t="s">
        <v>33</v>
      </c>
      <c r="B5" s="1">
        <v>53</v>
      </c>
    </row>
    <row r="6" spans="1:2" x14ac:dyDescent="0.2">
      <c r="A6" s="4" t="s">
        <v>62</v>
      </c>
      <c r="B6" s="1">
        <v>51</v>
      </c>
    </row>
    <row r="7" spans="1:2" x14ac:dyDescent="0.2">
      <c r="A7" s="4" t="s">
        <v>64</v>
      </c>
      <c r="B7" s="1">
        <v>46</v>
      </c>
    </row>
    <row r="8" spans="1:2" x14ac:dyDescent="0.2">
      <c r="A8" s="4" t="s">
        <v>65</v>
      </c>
      <c r="B8" s="1">
        <v>100</v>
      </c>
    </row>
    <row r="9" spans="1:2" x14ac:dyDescent="0.2">
      <c r="A9" s="4" t="s">
        <v>66</v>
      </c>
      <c r="B9" s="1">
        <v>80</v>
      </c>
    </row>
    <row r="10" spans="1:2" x14ac:dyDescent="0.2">
      <c r="A10" s="4" t="s">
        <v>67</v>
      </c>
      <c r="B10" s="1">
        <v>54</v>
      </c>
    </row>
    <row r="11" spans="1:2" x14ac:dyDescent="0.2">
      <c r="A11" s="4" t="s">
        <v>68</v>
      </c>
      <c r="B11" s="1">
        <v>9</v>
      </c>
    </row>
    <row r="12" spans="1:2" x14ac:dyDescent="0.2">
      <c r="A12" s="4" t="s">
        <v>69</v>
      </c>
      <c r="B12" s="1">
        <v>2</v>
      </c>
    </row>
    <row r="13" spans="1:2" x14ac:dyDescent="0.2">
      <c r="A13" s="4" t="s">
        <v>70</v>
      </c>
      <c r="B13" s="1">
        <v>45</v>
      </c>
    </row>
    <row r="14" spans="1:2" x14ac:dyDescent="0.2">
      <c r="A14" s="4" t="s">
        <v>71</v>
      </c>
      <c r="B14" s="1">
        <v>10</v>
      </c>
    </row>
    <row r="15" spans="1:2" x14ac:dyDescent="0.2">
      <c r="A15" s="4" t="s">
        <v>72</v>
      </c>
      <c r="B15" s="1">
        <v>48</v>
      </c>
    </row>
    <row r="16" spans="1:2" x14ac:dyDescent="0.2">
      <c r="A16" s="4" t="s">
        <v>36</v>
      </c>
      <c r="B16" s="1">
        <v>1</v>
      </c>
    </row>
    <row r="17" spans="1:2" x14ac:dyDescent="0.2">
      <c r="A17" s="4" t="s">
        <v>73</v>
      </c>
      <c r="B17" s="1">
        <v>27</v>
      </c>
    </row>
    <row r="18" spans="1:2" x14ac:dyDescent="0.2">
      <c r="A18" s="4" t="s">
        <v>74</v>
      </c>
      <c r="B18" s="1">
        <v>69</v>
      </c>
    </row>
    <row r="19" spans="1:2" x14ac:dyDescent="0.2">
      <c r="A19" s="4" t="s">
        <v>75</v>
      </c>
      <c r="B19" s="1">
        <v>71</v>
      </c>
    </row>
    <row r="20" spans="1:2" x14ac:dyDescent="0.2">
      <c r="A20" s="4" t="s">
        <v>76</v>
      </c>
      <c r="B20" s="1">
        <v>84</v>
      </c>
    </row>
    <row r="21" spans="1:2" x14ac:dyDescent="0.2">
      <c r="A21" s="4" t="s">
        <v>77</v>
      </c>
      <c r="B21" s="1">
        <v>4</v>
      </c>
    </row>
    <row r="22" spans="1:2" x14ac:dyDescent="0.2">
      <c r="A22" s="4" t="s">
        <v>78</v>
      </c>
      <c r="B22" s="1">
        <v>82</v>
      </c>
    </row>
    <row r="23" spans="1:2" x14ac:dyDescent="0.2">
      <c r="A23" s="4" t="s">
        <v>79</v>
      </c>
      <c r="B23" s="1">
        <v>59</v>
      </c>
    </row>
    <row r="24" spans="1:2" x14ac:dyDescent="0.2">
      <c r="A24" s="4" t="s">
        <v>80</v>
      </c>
      <c r="B24" s="1">
        <v>47</v>
      </c>
    </row>
    <row r="25" spans="1:2" x14ac:dyDescent="0.2">
      <c r="A25" s="4" t="s">
        <v>81</v>
      </c>
      <c r="B25" s="1">
        <v>48</v>
      </c>
    </row>
    <row r="26" spans="1:2" x14ac:dyDescent="0.2">
      <c r="A26" s="4" t="s">
        <v>82</v>
      </c>
      <c r="B26" s="1">
        <v>45</v>
      </c>
    </row>
    <row r="27" spans="1:2" x14ac:dyDescent="0.2">
      <c r="A27" s="4" t="s">
        <v>41</v>
      </c>
      <c r="B27" s="1">
        <v>23</v>
      </c>
    </row>
    <row r="28" spans="1:2" x14ac:dyDescent="0.2">
      <c r="A28" s="4" t="s">
        <v>83</v>
      </c>
      <c r="B28" s="1">
        <v>60</v>
      </c>
    </row>
    <row r="29" spans="1:2" x14ac:dyDescent="0.2">
      <c r="A29" s="4" t="s">
        <v>84</v>
      </c>
      <c r="B29" s="1">
        <v>6</v>
      </c>
    </row>
    <row r="30" spans="1:2" x14ac:dyDescent="0.2">
      <c r="A30" s="4" t="s">
        <v>85</v>
      </c>
      <c r="B30" s="1">
        <v>89</v>
      </c>
    </row>
    <row r="31" spans="1:2" x14ac:dyDescent="0.2">
      <c r="A31" s="4" t="s">
        <v>86</v>
      </c>
      <c r="B31" s="1">
        <v>4</v>
      </c>
    </row>
    <row r="32" spans="1:2" x14ac:dyDescent="0.2">
      <c r="A32" s="4" t="s">
        <v>87</v>
      </c>
      <c r="B32" s="1">
        <v>1</v>
      </c>
    </row>
    <row r="33" spans="1:2" x14ac:dyDescent="0.2">
      <c r="A33" s="4" t="s">
        <v>88</v>
      </c>
      <c r="B33" s="1">
        <v>42</v>
      </c>
    </row>
    <row r="34" spans="1:2" x14ac:dyDescent="0.2">
      <c r="A34" s="4" t="s">
        <v>89</v>
      </c>
      <c r="B34" s="1">
        <v>18</v>
      </c>
    </row>
    <row r="35" spans="1:2" x14ac:dyDescent="0.2">
      <c r="A35" s="4" t="s">
        <v>90</v>
      </c>
      <c r="B35" s="1">
        <v>25</v>
      </c>
    </row>
    <row r="36" spans="1:2" x14ac:dyDescent="0.2">
      <c r="A36" s="4" t="s">
        <v>91</v>
      </c>
      <c r="B36" s="1">
        <v>69</v>
      </c>
    </row>
    <row r="37" spans="1:2" x14ac:dyDescent="0.2">
      <c r="A37" s="4" t="s">
        <v>92</v>
      </c>
      <c r="B37" s="1">
        <v>78</v>
      </c>
    </row>
    <row r="38" spans="1:2" x14ac:dyDescent="0.2">
      <c r="A38" s="4" t="s">
        <v>48</v>
      </c>
      <c r="B38" s="1">
        <v>5</v>
      </c>
    </row>
    <row r="39" spans="1:2" x14ac:dyDescent="0.2">
      <c r="A39" s="4" t="s">
        <v>93</v>
      </c>
      <c r="B39" s="1">
        <v>90</v>
      </c>
    </row>
    <row r="40" spans="1:2" x14ac:dyDescent="0.2">
      <c r="A40" s="4" t="s">
        <v>94</v>
      </c>
      <c r="B40" s="1">
        <v>64</v>
      </c>
    </row>
    <row r="41" spans="1:2" x14ac:dyDescent="0.2">
      <c r="A41" s="4" t="s">
        <v>95</v>
      </c>
      <c r="B41" s="1">
        <v>22</v>
      </c>
    </row>
    <row r="42" spans="1:2" x14ac:dyDescent="0.2">
      <c r="A42" s="4" t="s">
        <v>96</v>
      </c>
      <c r="B42" s="1">
        <v>36</v>
      </c>
    </row>
    <row r="43" spans="1:2" x14ac:dyDescent="0.2">
      <c r="A43" s="4" t="s">
        <v>97</v>
      </c>
      <c r="B43" s="1">
        <v>13</v>
      </c>
    </row>
    <row r="44" spans="1:2" x14ac:dyDescent="0.2">
      <c r="A44" s="4" t="s">
        <v>98</v>
      </c>
      <c r="B44" s="1">
        <v>93</v>
      </c>
    </row>
    <row r="45" spans="1:2" x14ac:dyDescent="0.2">
      <c r="A45" s="4" t="s">
        <v>99</v>
      </c>
      <c r="B45" s="1">
        <v>92</v>
      </c>
    </row>
    <row r="46" spans="1:2" x14ac:dyDescent="0.2">
      <c r="A46" s="4" t="s">
        <v>100</v>
      </c>
      <c r="B46" s="1">
        <v>4</v>
      </c>
    </row>
    <row r="47" spans="1:2" x14ac:dyDescent="0.2">
      <c r="A47" s="4" t="s">
        <v>101</v>
      </c>
      <c r="B47" s="1">
        <v>30</v>
      </c>
    </row>
    <row r="48" spans="1:2" x14ac:dyDescent="0.2">
      <c r="A48" s="4" t="s">
        <v>102</v>
      </c>
      <c r="B48" s="1">
        <v>97</v>
      </c>
    </row>
    <row r="49" spans="1:2" x14ac:dyDescent="0.2">
      <c r="A49" s="4" t="s">
        <v>50</v>
      </c>
      <c r="B49" s="1">
        <v>90</v>
      </c>
    </row>
    <row r="50" spans="1:2" x14ac:dyDescent="0.2">
      <c r="A50" s="4" t="s">
        <v>103</v>
      </c>
      <c r="B50" s="1">
        <v>31</v>
      </c>
    </row>
    <row r="51" spans="1:2" x14ac:dyDescent="0.2">
      <c r="A51" s="4" t="s">
        <v>104</v>
      </c>
      <c r="B51" s="1">
        <v>100</v>
      </c>
    </row>
    <row r="52" spans="1:2" x14ac:dyDescent="0.2">
      <c r="A52" s="4" t="s">
        <v>105</v>
      </c>
      <c r="B52" s="1">
        <v>64</v>
      </c>
    </row>
    <row r="53" spans="1:2" x14ac:dyDescent="0.2">
      <c r="A53" s="4" t="s">
        <v>106</v>
      </c>
      <c r="B53" s="1">
        <v>96</v>
      </c>
    </row>
    <row r="54" spans="1:2" x14ac:dyDescent="0.2">
      <c r="A54" s="4" t="s">
        <v>107</v>
      </c>
      <c r="B54" s="1">
        <v>33</v>
      </c>
    </row>
    <row r="55" spans="1:2" x14ac:dyDescent="0.2">
      <c r="A55" s="4" t="s">
        <v>108</v>
      </c>
      <c r="B55" s="1">
        <v>97</v>
      </c>
    </row>
    <row r="56" spans="1:2" x14ac:dyDescent="0.2">
      <c r="A56" s="4" t="s">
        <v>109</v>
      </c>
      <c r="B56" s="1">
        <v>25</v>
      </c>
    </row>
    <row r="57" spans="1:2" x14ac:dyDescent="0.2">
      <c r="A57" s="4" t="s">
        <v>110</v>
      </c>
      <c r="B57" s="1">
        <v>5</v>
      </c>
    </row>
    <row r="58" spans="1:2" x14ac:dyDescent="0.2">
      <c r="A58" s="4" t="s">
        <v>111</v>
      </c>
      <c r="B58" s="1">
        <v>10</v>
      </c>
    </row>
    <row r="59" spans="1:2" x14ac:dyDescent="0.2">
      <c r="A59" s="4" t="s">
        <v>112</v>
      </c>
      <c r="B59" s="1">
        <v>100</v>
      </c>
    </row>
    <row r="60" spans="1:2" x14ac:dyDescent="0.2">
      <c r="A60" s="4" t="s">
        <v>53</v>
      </c>
      <c r="B60" s="1">
        <v>11</v>
      </c>
    </row>
    <row r="61" spans="1:2" x14ac:dyDescent="0.2">
      <c r="A61" s="4" t="s">
        <v>113</v>
      </c>
      <c r="B61" s="1">
        <v>41</v>
      </c>
    </row>
    <row r="62" spans="1:2" x14ac:dyDescent="0.2">
      <c r="A62" s="4" t="s">
        <v>114</v>
      </c>
      <c r="B62" s="1">
        <v>32</v>
      </c>
    </row>
    <row r="63" spans="1:2" x14ac:dyDescent="0.2">
      <c r="A63" s="4" t="s">
        <v>115</v>
      </c>
      <c r="B63" s="1">
        <v>86</v>
      </c>
    </row>
    <row r="64" spans="1:2" x14ac:dyDescent="0.2">
      <c r="A64" s="4" t="s">
        <v>116</v>
      </c>
      <c r="B64" s="1">
        <v>54</v>
      </c>
    </row>
    <row r="65" spans="1:2" x14ac:dyDescent="0.2">
      <c r="A65" s="4" t="s">
        <v>117</v>
      </c>
      <c r="B65" s="1">
        <v>73</v>
      </c>
    </row>
    <row r="66" spans="1:2" x14ac:dyDescent="0.2">
      <c r="A66" s="4" t="s">
        <v>118</v>
      </c>
      <c r="B66" s="1">
        <v>57</v>
      </c>
    </row>
    <row r="67" spans="1:2" x14ac:dyDescent="0.2">
      <c r="A67" s="4" t="s">
        <v>119</v>
      </c>
      <c r="B67" s="1">
        <v>13</v>
      </c>
    </row>
    <row r="68" spans="1:2" x14ac:dyDescent="0.2">
      <c r="A68" s="4" t="s">
        <v>120</v>
      </c>
      <c r="B68" s="1">
        <v>12</v>
      </c>
    </row>
    <row r="69" spans="1:2" x14ac:dyDescent="0.2">
      <c r="A69" s="4" t="s">
        <v>121</v>
      </c>
      <c r="B69" s="1">
        <v>0</v>
      </c>
    </row>
    <row r="70" spans="1:2" x14ac:dyDescent="0.2">
      <c r="A70" s="4" t="s">
        <v>122</v>
      </c>
      <c r="B70" s="1">
        <v>95</v>
      </c>
    </row>
    <row r="71" spans="1:2" x14ac:dyDescent="0.2">
      <c r="A71" s="4" t="s">
        <v>57</v>
      </c>
      <c r="B71" s="1">
        <v>93</v>
      </c>
    </row>
    <row r="72" spans="1:2" x14ac:dyDescent="0.2">
      <c r="A72" s="4" t="s">
        <v>123</v>
      </c>
      <c r="B72" s="1">
        <v>10</v>
      </c>
    </row>
    <row r="73" spans="1:2" x14ac:dyDescent="0.2">
      <c r="A73" s="4" t="s">
        <v>124</v>
      </c>
      <c r="B73" s="1">
        <v>76</v>
      </c>
    </row>
    <row r="74" spans="1:2" x14ac:dyDescent="0.2">
      <c r="A74" s="4" t="s">
        <v>125</v>
      </c>
      <c r="B74" s="1">
        <v>57</v>
      </c>
    </row>
    <row r="75" spans="1:2" x14ac:dyDescent="0.2">
      <c r="A75" s="4" t="s">
        <v>126</v>
      </c>
      <c r="B75" s="1">
        <v>17</v>
      </c>
    </row>
    <row r="76" spans="1:2" x14ac:dyDescent="0.2">
      <c r="A76" s="4" t="s">
        <v>127</v>
      </c>
      <c r="B76" s="1">
        <v>41</v>
      </c>
    </row>
    <row r="77" spans="1:2" x14ac:dyDescent="0.2">
      <c r="A77" s="4" t="s">
        <v>128</v>
      </c>
      <c r="B77" s="1">
        <v>16</v>
      </c>
    </row>
    <row r="78" spans="1:2" x14ac:dyDescent="0.2">
      <c r="A78" s="4" t="s">
        <v>129</v>
      </c>
      <c r="B78" s="1">
        <v>38</v>
      </c>
    </row>
    <row r="79" spans="1:2" x14ac:dyDescent="0.2">
      <c r="A79" s="4" t="s">
        <v>130</v>
      </c>
      <c r="B79" s="1">
        <v>96</v>
      </c>
    </row>
    <row r="80" spans="1:2" x14ac:dyDescent="0.2">
      <c r="A80" s="4" t="s">
        <v>131</v>
      </c>
      <c r="B80" s="1">
        <v>5</v>
      </c>
    </row>
    <row r="81" spans="1:2" x14ac:dyDescent="0.2">
      <c r="A81" s="4" t="s">
        <v>132</v>
      </c>
      <c r="B81" s="1">
        <v>31</v>
      </c>
    </row>
    <row r="82" spans="1:2" x14ac:dyDescent="0.2">
      <c r="A82" s="4" t="s">
        <v>58</v>
      </c>
      <c r="B82" s="1">
        <v>5</v>
      </c>
    </row>
    <row r="83" spans="1:2" x14ac:dyDescent="0.2">
      <c r="A83" s="4" t="s">
        <v>133</v>
      </c>
      <c r="B83" s="1">
        <v>39</v>
      </c>
    </row>
    <row r="84" spans="1:2" x14ac:dyDescent="0.2">
      <c r="A84" s="4" t="s">
        <v>134</v>
      </c>
      <c r="B84" s="1">
        <v>48</v>
      </c>
    </row>
    <row r="85" spans="1:2" x14ac:dyDescent="0.2">
      <c r="A85" s="4" t="s">
        <v>135</v>
      </c>
      <c r="B85" s="1">
        <v>42</v>
      </c>
    </row>
    <row r="86" spans="1:2" x14ac:dyDescent="0.2">
      <c r="A86" s="4" t="s">
        <v>136</v>
      </c>
      <c r="B86" s="1">
        <v>65</v>
      </c>
    </row>
    <row r="87" spans="1:2" x14ac:dyDescent="0.2">
      <c r="A87" s="4" t="s">
        <v>137</v>
      </c>
      <c r="B87" s="1">
        <v>73</v>
      </c>
    </row>
    <row r="88" spans="1:2" x14ac:dyDescent="0.2">
      <c r="A88" s="4" t="s">
        <v>138</v>
      </c>
      <c r="B88" s="1">
        <v>15</v>
      </c>
    </row>
    <row r="89" spans="1:2" x14ac:dyDescent="0.2">
      <c r="A89" s="4" t="s">
        <v>139</v>
      </c>
      <c r="B89" s="1">
        <v>32</v>
      </c>
    </row>
    <row r="90" spans="1:2" x14ac:dyDescent="0.2">
      <c r="A90" s="4" t="s">
        <v>140</v>
      </c>
      <c r="B90" s="1">
        <v>5</v>
      </c>
    </row>
    <row r="91" spans="1:2" x14ac:dyDescent="0.2">
      <c r="A91" s="4" t="s">
        <v>141</v>
      </c>
      <c r="B91" s="1">
        <v>60</v>
      </c>
    </row>
    <row r="92" spans="1:2" x14ac:dyDescent="0.2">
      <c r="A92" s="4" t="s">
        <v>142</v>
      </c>
      <c r="B92" s="1">
        <v>90</v>
      </c>
    </row>
    <row r="93" spans="1:2" x14ac:dyDescent="0.2">
      <c r="A93" s="4" t="s">
        <v>59</v>
      </c>
      <c r="B93" s="1">
        <v>14</v>
      </c>
    </row>
    <row r="94" spans="1:2" x14ac:dyDescent="0.2">
      <c r="A94" s="4" t="s">
        <v>143</v>
      </c>
      <c r="B94" s="1">
        <v>66</v>
      </c>
    </row>
    <row r="95" spans="1:2" x14ac:dyDescent="0.2">
      <c r="A95" s="4" t="s">
        <v>144</v>
      </c>
      <c r="B95" s="1">
        <v>98</v>
      </c>
    </row>
    <row r="96" spans="1:2" x14ac:dyDescent="0.2">
      <c r="A96" s="4" t="s">
        <v>145</v>
      </c>
      <c r="B96" s="1">
        <v>90</v>
      </c>
    </row>
    <row r="97" spans="1:2" x14ac:dyDescent="0.2">
      <c r="A97" s="4" t="s">
        <v>146</v>
      </c>
      <c r="B97" s="1">
        <v>63</v>
      </c>
    </row>
    <row r="98" spans="1:2" x14ac:dyDescent="0.2">
      <c r="A98" s="4" t="s">
        <v>147</v>
      </c>
      <c r="B98" s="1">
        <v>77</v>
      </c>
    </row>
    <row r="99" spans="1:2" x14ac:dyDescent="0.2">
      <c r="A99" s="4" t="s">
        <v>148</v>
      </c>
      <c r="B99" s="1">
        <v>15</v>
      </c>
    </row>
    <row r="100" spans="1:2" x14ac:dyDescent="0.2">
      <c r="A100" s="4" t="s">
        <v>149</v>
      </c>
      <c r="B100" s="1">
        <v>67</v>
      </c>
    </row>
    <row r="101" spans="1:2" x14ac:dyDescent="0.2">
      <c r="A101" s="4" t="s">
        <v>150</v>
      </c>
      <c r="B101" s="1">
        <v>46</v>
      </c>
    </row>
    <row r="102" spans="1:2" x14ac:dyDescent="0.2">
      <c r="A102" s="4" t="s">
        <v>151</v>
      </c>
      <c r="B102" s="1">
        <v>53</v>
      </c>
    </row>
    <row r="103" spans="1:2" x14ac:dyDescent="0.2">
      <c r="A103" s="4" t="s">
        <v>152</v>
      </c>
      <c r="B103" s="1">
        <v>55</v>
      </c>
    </row>
    <row r="104" spans="1:2" x14ac:dyDescent="0.2">
      <c r="A104" s="4" t="s">
        <v>218</v>
      </c>
      <c r="B104" s="1"/>
    </row>
    <row r="105" spans="1:2" x14ac:dyDescent="0.2">
      <c r="A105" s="4" t="s">
        <v>211</v>
      </c>
      <c r="B105" s="1">
        <v>4777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8584B-3D76-4459-9A4A-49908753C987}">
  <dimension ref="A3:B8"/>
  <sheetViews>
    <sheetView workbookViewId="0">
      <selection activeCell="A3" sqref="A3"/>
    </sheetView>
  </sheetViews>
  <sheetFormatPr defaultRowHeight="14.25" x14ac:dyDescent="0.2"/>
  <cols>
    <col min="1" max="1" width="13.125" bestFit="1" customWidth="1"/>
    <col min="2" max="2" width="25.75" bestFit="1" customWidth="1"/>
  </cols>
  <sheetData>
    <row r="3" spans="1:2" x14ac:dyDescent="0.2">
      <c r="A3" s="3" t="s">
        <v>210</v>
      </c>
      <c r="B3" t="s">
        <v>212</v>
      </c>
    </row>
    <row r="4" spans="1:2" x14ac:dyDescent="0.2">
      <c r="A4" s="4" t="s">
        <v>34</v>
      </c>
      <c r="B4" s="1">
        <v>161514.49000000005</v>
      </c>
    </row>
    <row r="5" spans="1:2" x14ac:dyDescent="0.2">
      <c r="A5" s="4" t="s">
        <v>54</v>
      </c>
      <c r="B5" s="1">
        <v>126634.42000000003</v>
      </c>
    </row>
    <row r="6" spans="1:2" x14ac:dyDescent="0.2">
      <c r="A6" s="4" t="s">
        <v>25</v>
      </c>
      <c r="B6" s="1">
        <v>116365.81</v>
      </c>
    </row>
    <row r="7" spans="1:2" x14ac:dyDescent="0.2">
      <c r="A7" s="4" t="s">
        <v>37</v>
      </c>
      <c r="B7" s="1">
        <v>173090.13999999996</v>
      </c>
    </row>
    <row r="8" spans="1:2" x14ac:dyDescent="0.2">
      <c r="A8" s="4" t="s">
        <v>211</v>
      </c>
      <c r="B8" s="1">
        <v>577604.8600000001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407C-A685-4203-ADE2-FBDA62535F4D}">
  <dimension ref="A3:B9"/>
  <sheetViews>
    <sheetView workbookViewId="0">
      <selection activeCell="B5" sqref="B5"/>
    </sheetView>
  </sheetViews>
  <sheetFormatPr defaultRowHeight="14.25" x14ac:dyDescent="0.2"/>
  <cols>
    <col min="1" max="1" width="13.125" bestFit="1" customWidth="1"/>
    <col min="2" max="2" width="19.875" bestFit="1" customWidth="1"/>
  </cols>
  <sheetData>
    <row r="3" spans="1:2" x14ac:dyDescent="0.2">
      <c r="A3" s="3" t="s">
        <v>210</v>
      </c>
      <c r="B3" t="s">
        <v>220</v>
      </c>
    </row>
    <row r="4" spans="1:2" x14ac:dyDescent="0.2">
      <c r="A4" s="4" t="s">
        <v>38</v>
      </c>
      <c r="B4" s="1">
        <v>14.777777777777779</v>
      </c>
    </row>
    <row r="5" spans="1:2" x14ac:dyDescent="0.2">
      <c r="A5" s="4" t="s">
        <v>60</v>
      </c>
      <c r="B5" s="1">
        <v>18.545454545454547</v>
      </c>
    </row>
    <row r="6" spans="1:2" x14ac:dyDescent="0.2">
      <c r="A6" s="4" t="s">
        <v>27</v>
      </c>
      <c r="B6" s="1">
        <v>20.133333333333333</v>
      </c>
    </row>
    <row r="7" spans="1:2" x14ac:dyDescent="0.2">
      <c r="A7" s="4" t="s">
        <v>51</v>
      </c>
      <c r="B7" s="1">
        <v>15.222222222222221</v>
      </c>
    </row>
    <row r="8" spans="1:2" x14ac:dyDescent="0.2">
      <c r="A8" s="4" t="s">
        <v>43</v>
      </c>
      <c r="B8" s="1">
        <v>18.055555555555557</v>
      </c>
    </row>
    <row r="9" spans="1:2" x14ac:dyDescent="0.2">
      <c r="A9" s="4" t="s">
        <v>211</v>
      </c>
      <c r="B9" s="1">
        <v>17.079999999999998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6F532-F41D-4DE9-8BF0-1FFF5923B699}">
  <dimension ref="A3:B9"/>
  <sheetViews>
    <sheetView workbookViewId="0">
      <selection activeCell="B24" sqref="B24"/>
    </sheetView>
  </sheetViews>
  <sheetFormatPr defaultRowHeight="14.25" x14ac:dyDescent="0.2"/>
  <cols>
    <col min="1" max="1" width="13.125" bestFit="1" customWidth="1"/>
    <col min="2" max="2" width="25.75" bestFit="1" customWidth="1"/>
  </cols>
  <sheetData>
    <row r="3" spans="1:2" x14ac:dyDescent="0.2">
      <c r="A3" s="3" t="s">
        <v>210</v>
      </c>
      <c r="B3" t="s">
        <v>221</v>
      </c>
    </row>
    <row r="4" spans="1:2" x14ac:dyDescent="0.2">
      <c r="A4" s="4" t="s">
        <v>38</v>
      </c>
      <c r="B4" s="1">
        <v>13545</v>
      </c>
    </row>
    <row r="5" spans="1:2" x14ac:dyDescent="0.2">
      <c r="A5" s="4" t="s">
        <v>60</v>
      </c>
      <c r="B5" s="1">
        <v>14105</v>
      </c>
    </row>
    <row r="6" spans="1:2" x14ac:dyDescent="0.2">
      <c r="A6" s="4" t="s">
        <v>27</v>
      </c>
      <c r="B6" s="1">
        <v>7997</v>
      </c>
    </row>
    <row r="7" spans="1:2" x14ac:dyDescent="0.2">
      <c r="A7" s="4" t="s">
        <v>51</v>
      </c>
      <c r="B7" s="1">
        <v>11756</v>
      </c>
    </row>
    <row r="8" spans="1:2" x14ac:dyDescent="0.2">
      <c r="A8" s="4" t="s">
        <v>43</v>
      </c>
      <c r="B8" s="1">
        <v>9381</v>
      </c>
    </row>
    <row r="9" spans="1:2" x14ac:dyDescent="0.2">
      <c r="A9" s="4" t="s">
        <v>211</v>
      </c>
      <c r="B9" s="1">
        <v>56784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BAD0-7096-4EC0-9CBB-56F29F917671}">
  <dimension ref="A3:B105"/>
  <sheetViews>
    <sheetView workbookViewId="0">
      <selection activeCell="C3" sqref="C3"/>
    </sheetView>
  </sheetViews>
  <sheetFormatPr defaultRowHeight="14.25" x14ac:dyDescent="0.2"/>
  <cols>
    <col min="1" max="1" width="13.125" bestFit="1" customWidth="1"/>
    <col min="2" max="2" width="12.25" bestFit="1" customWidth="1"/>
    <col min="3" max="3" width="40.375" bestFit="1" customWidth="1"/>
  </cols>
  <sheetData>
    <row r="3" spans="1:2" x14ac:dyDescent="0.2">
      <c r="A3" s="3" t="s">
        <v>210</v>
      </c>
      <c r="B3" t="s">
        <v>226</v>
      </c>
    </row>
    <row r="4" spans="1:2" x14ac:dyDescent="0.2">
      <c r="A4" s="4" t="s">
        <v>24</v>
      </c>
      <c r="B4" s="1">
        <v>187.75</v>
      </c>
    </row>
    <row r="5" spans="1:2" x14ac:dyDescent="0.2">
      <c r="A5" s="4" t="s">
        <v>33</v>
      </c>
      <c r="B5" s="1">
        <v>503.07</v>
      </c>
    </row>
    <row r="6" spans="1:2" x14ac:dyDescent="0.2">
      <c r="A6" s="4" t="s">
        <v>62</v>
      </c>
      <c r="B6" s="1">
        <v>806.1</v>
      </c>
    </row>
    <row r="7" spans="1:2" x14ac:dyDescent="0.2">
      <c r="A7" s="4" t="s">
        <v>64</v>
      </c>
      <c r="B7" s="1">
        <v>126.72</v>
      </c>
    </row>
    <row r="8" spans="1:2" x14ac:dyDescent="0.2">
      <c r="A8" s="4" t="s">
        <v>65</v>
      </c>
      <c r="B8" s="1">
        <v>402.97</v>
      </c>
    </row>
    <row r="9" spans="1:2" x14ac:dyDescent="0.2">
      <c r="A9" s="4" t="s">
        <v>66</v>
      </c>
      <c r="B9" s="1">
        <v>547.24</v>
      </c>
    </row>
    <row r="10" spans="1:2" x14ac:dyDescent="0.2">
      <c r="A10" s="4" t="s">
        <v>67</v>
      </c>
      <c r="B10" s="1">
        <v>929.24</v>
      </c>
    </row>
    <row r="11" spans="1:2" x14ac:dyDescent="0.2">
      <c r="A11" s="4" t="s">
        <v>68</v>
      </c>
      <c r="B11" s="1">
        <v>127.86</v>
      </c>
    </row>
    <row r="12" spans="1:2" x14ac:dyDescent="0.2">
      <c r="A12" s="4" t="s">
        <v>69</v>
      </c>
      <c r="B12" s="1">
        <v>865.53</v>
      </c>
    </row>
    <row r="13" spans="1:2" x14ac:dyDescent="0.2">
      <c r="A13" s="4" t="s">
        <v>70</v>
      </c>
      <c r="B13" s="1">
        <v>670.93</v>
      </c>
    </row>
    <row r="14" spans="1:2" x14ac:dyDescent="0.2">
      <c r="A14" s="4" t="s">
        <v>71</v>
      </c>
      <c r="B14" s="1">
        <v>593.48</v>
      </c>
    </row>
    <row r="15" spans="1:2" x14ac:dyDescent="0.2">
      <c r="A15" s="4" t="s">
        <v>72</v>
      </c>
      <c r="B15" s="1">
        <v>477.31</v>
      </c>
    </row>
    <row r="16" spans="1:2" x14ac:dyDescent="0.2">
      <c r="A16" s="4" t="s">
        <v>36</v>
      </c>
      <c r="B16" s="1">
        <v>141.91999999999999</v>
      </c>
    </row>
    <row r="17" spans="1:2" x14ac:dyDescent="0.2">
      <c r="A17" s="4" t="s">
        <v>73</v>
      </c>
      <c r="B17" s="1">
        <v>493.87</v>
      </c>
    </row>
    <row r="18" spans="1:2" x14ac:dyDescent="0.2">
      <c r="A18" s="4" t="s">
        <v>74</v>
      </c>
      <c r="B18" s="1">
        <v>523.36</v>
      </c>
    </row>
    <row r="19" spans="1:2" x14ac:dyDescent="0.2">
      <c r="A19" s="4" t="s">
        <v>75</v>
      </c>
      <c r="B19" s="1">
        <v>205.57</v>
      </c>
    </row>
    <row r="20" spans="1:2" x14ac:dyDescent="0.2">
      <c r="A20" s="4" t="s">
        <v>76</v>
      </c>
      <c r="B20" s="1">
        <v>196.33</v>
      </c>
    </row>
    <row r="21" spans="1:2" x14ac:dyDescent="0.2">
      <c r="A21" s="4" t="s">
        <v>77</v>
      </c>
      <c r="B21" s="1">
        <v>758.72</v>
      </c>
    </row>
    <row r="22" spans="1:2" x14ac:dyDescent="0.2">
      <c r="A22" s="4" t="s">
        <v>78</v>
      </c>
      <c r="B22" s="1">
        <v>458.54</v>
      </c>
    </row>
    <row r="23" spans="1:2" x14ac:dyDescent="0.2">
      <c r="A23" s="4" t="s">
        <v>79</v>
      </c>
      <c r="B23" s="1">
        <v>617.87</v>
      </c>
    </row>
    <row r="24" spans="1:2" x14ac:dyDescent="0.2">
      <c r="A24" s="4" t="s">
        <v>80</v>
      </c>
      <c r="B24" s="1">
        <v>762.46</v>
      </c>
    </row>
    <row r="25" spans="1:2" x14ac:dyDescent="0.2">
      <c r="A25" s="4" t="s">
        <v>81</v>
      </c>
      <c r="B25" s="1">
        <v>123.44</v>
      </c>
    </row>
    <row r="26" spans="1:2" x14ac:dyDescent="0.2">
      <c r="A26" s="4" t="s">
        <v>82</v>
      </c>
      <c r="B26" s="1">
        <v>764.94</v>
      </c>
    </row>
    <row r="27" spans="1:2" x14ac:dyDescent="0.2">
      <c r="A27" s="4" t="s">
        <v>41</v>
      </c>
      <c r="B27" s="1">
        <v>254.78</v>
      </c>
    </row>
    <row r="28" spans="1:2" x14ac:dyDescent="0.2">
      <c r="A28" s="4" t="s">
        <v>83</v>
      </c>
      <c r="B28" s="1">
        <v>880.08</v>
      </c>
    </row>
    <row r="29" spans="1:2" x14ac:dyDescent="0.2">
      <c r="A29" s="4" t="s">
        <v>84</v>
      </c>
      <c r="B29" s="1">
        <v>609.38</v>
      </c>
    </row>
    <row r="30" spans="1:2" x14ac:dyDescent="0.2">
      <c r="A30" s="4" t="s">
        <v>85</v>
      </c>
      <c r="B30" s="1">
        <v>761.17</v>
      </c>
    </row>
    <row r="31" spans="1:2" x14ac:dyDescent="0.2">
      <c r="A31" s="4" t="s">
        <v>86</v>
      </c>
      <c r="B31" s="1">
        <v>371.26</v>
      </c>
    </row>
    <row r="32" spans="1:2" x14ac:dyDescent="0.2">
      <c r="A32" s="4" t="s">
        <v>87</v>
      </c>
      <c r="B32" s="1">
        <v>510.36</v>
      </c>
    </row>
    <row r="33" spans="1:2" x14ac:dyDescent="0.2">
      <c r="A33" s="4" t="s">
        <v>88</v>
      </c>
      <c r="B33" s="1">
        <v>553.41999999999996</v>
      </c>
    </row>
    <row r="34" spans="1:2" x14ac:dyDescent="0.2">
      <c r="A34" s="4" t="s">
        <v>89</v>
      </c>
      <c r="B34" s="1">
        <v>403.81</v>
      </c>
    </row>
    <row r="35" spans="1:2" x14ac:dyDescent="0.2">
      <c r="A35" s="4" t="s">
        <v>90</v>
      </c>
      <c r="B35" s="1">
        <v>183.93</v>
      </c>
    </row>
    <row r="36" spans="1:2" x14ac:dyDescent="0.2">
      <c r="A36" s="4" t="s">
        <v>91</v>
      </c>
      <c r="B36" s="1">
        <v>339.67</v>
      </c>
    </row>
    <row r="37" spans="1:2" x14ac:dyDescent="0.2">
      <c r="A37" s="4" t="s">
        <v>92</v>
      </c>
      <c r="B37" s="1">
        <v>653.66999999999996</v>
      </c>
    </row>
    <row r="38" spans="1:2" x14ac:dyDescent="0.2">
      <c r="A38" s="4" t="s">
        <v>48</v>
      </c>
      <c r="B38" s="1">
        <v>923.44</v>
      </c>
    </row>
    <row r="39" spans="1:2" x14ac:dyDescent="0.2">
      <c r="A39" s="4" t="s">
        <v>93</v>
      </c>
      <c r="B39" s="1">
        <v>529.80999999999995</v>
      </c>
    </row>
    <row r="40" spans="1:2" x14ac:dyDescent="0.2">
      <c r="A40" s="4" t="s">
        <v>94</v>
      </c>
      <c r="B40" s="1">
        <v>275.52</v>
      </c>
    </row>
    <row r="41" spans="1:2" x14ac:dyDescent="0.2">
      <c r="A41" s="4" t="s">
        <v>95</v>
      </c>
      <c r="B41" s="1">
        <v>635.66</v>
      </c>
    </row>
    <row r="42" spans="1:2" x14ac:dyDescent="0.2">
      <c r="A42" s="4" t="s">
        <v>96</v>
      </c>
      <c r="B42" s="1">
        <v>716.04</v>
      </c>
    </row>
    <row r="43" spans="1:2" x14ac:dyDescent="0.2">
      <c r="A43" s="4" t="s">
        <v>97</v>
      </c>
      <c r="B43" s="1">
        <v>610.45000000000005</v>
      </c>
    </row>
    <row r="44" spans="1:2" x14ac:dyDescent="0.2">
      <c r="A44" s="4" t="s">
        <v>98</v>
      </c>
      <c r="B44" s="1">
        <v>495.31</v>
      </c>
    </row>
    <row r="45" spans="1:2" x14ac:dyDescent="0.2">
      <c r="A45" s="4" t="s">
        <v>99</v>
      </c>
      <c r="B45" s="1">
        <v>380.44</v>
      </c>
    </row>
    <row r="46" spans="1:2" x14ac:dyDescent="0.2">
      <c r="A46" s="4" t="s">
        <v>100</v>
      </c>
      <c r="B46" s="1">
        <v>581.6</v>
      </c>
    </row>
    <row r="47" spans="1:2" x14ac:dyDescent="0.2">
      <c r="A47" s="4" t="s">
        <v>101</v>
      </c>
      <c r="B47" s="1">
        <v>768.65</v>
      </c>
    </row>
    <row r="48" spans="1:2" x14ac:dyDescent="0.2">
      <c r="A48" s="4" t="s">
        <v>102</v>
      </c>
      <c r="B48" s="1">
        <v>336.89</v>
      </c>
    </row>
    <row r="49" spans="1:2" x14ac:dyDescent="0.2">
      <c r="A49" s="4" t="s">
        <v>50</v>
      </c>
      <c r="B49" s="1">
        <v>235.46</v>
      </c>
    </row>
    <row r="50" spans="1:2" x14ac:dyDescent="0.2">
      <c r="A50" s="4" t="s">
        <v>103</v>
      </c>
      <c r="B50" s="1">
        <v>496.25</v>
      </c>
    </row>
    <row r="51" spans="1:2" x14ac:dyDescent="0.2">
      <c r="A51" s="4" t="s">
        <v>104</v>
      </c>
      <c r="B51" s="1">
        <v>694.98</v>
      </c>
    </row>
    <row r="52" spans="1:2" x14ac:dyDescent="0.2">
      <c r="A52" s="4" t="s">
        <v>105</v>
      </c>
      <c r="B52" s="1">
        <v>602.9</v>
      </c>
    </row>
    <row r="53" spans="1:2" x14ac:dyDescent="0.2">
      <c r="A53" s="4" t="s">
        <v>106</v>
      </c>
      <c r="B53" s="1">
        <v>750.74</v>
      </c>
    </row>
    <row r="54" spans="1:2" x14ac:dyDescent="0.2">
      <c r="A54" s="4" t="s">
        <v>107</v>
      </c>
      <c r="B54" s="1">
        <v>814.07</v>
      </c>
    </row>
    <row r="55" spans="1:2" x14ac:dyDescent="0.2">
      <c r="A55" s="4" t="s">
        <v>108</v>
      </c>
      <c r="B55" s="1">
        <v>323.01</v>
      </c>
    </row>
    <row r="56" spans="1:2" x14ac:dyDescent="0.2">
      <c r="A56" s="4" t="s">
        <v>109</v>
      </c>
      <c r="B56" s="1">
        <v>832.21</v>
      </c>
    </row>
    <row r="57" spans="1:2" x14ac:dyDescent="0.2">
      <c r="A57" s="4" t="s">
        <v>110</v>
      </c>
      <c r="B57" s="1">
        <v>482.19</v>
      </c>
    </row>
    <row r="58" spans="1:2" x14ac:dyDescent="0.2">
      <c r="A58" s="4" t="s">
        <v>111</v>
      </c>
      <c r="B58" s="1">
        <v>110.36</v>
      </c>
    </row>
    <row r="59" spans="1:2" x14ac:dyDescent="0.2">
      <c r="A59" s="4" t="s">
        <v>112</v>
      </c>
      <c r="B59" s="1">
        <v>312.57</v>
      </c>
    </row>
    <row r="60" spans="1:2" x14ac:dyDescent="0.2">
      <c r="A60" s="4" t="s">
        <v>53</v>
      </c>
      <c r="B60" s="1">
        <v>134.37</v>
      </c>
    </row>
    <row r="61" spans="1:2" x14ac:dyDescent="0.2">
      <c r="A61" s="4" t="s">
        <v>113</v>
      </c>
      <c r="B61" s="1">
        <v>430.17</v>
      </c>
    </row>
    <row r="62" spans="1:2" x14ac:dyDescent="0.2">
      <c r="A62" s="4" t="s">
        <v>114</v>
      </c>
      <c r="B62" s="1">
        <v>164.37</v>
      </c>
    </row>
    <row r="63" spans="1:2" x14ac:dyDescent="0.2">
      <c r="A63" s="4" t="s">
        <v>115</v>
      </c>
      <c r="B63" s="1">
        <v>320.85000000000002</v>
      </c>
    </row>
    <row r="64" spans="1:2" x14ac:dyDescent="0.2">
      <c r="A64" s="4" t="s">
        <v>116</v>
      </c>
      <c r="B64" s="1">
        <v>687.29</v>
      </c>
    </row>
    <row r="65" spans="1:2" x14ac:dyDescent="0.2">
      <c r="A65" s="4" t="s">
        <v>117</v>
      </c>
      <c r="B65" s="1">
        <v>771.23</v>
      </c>
    </row>
    <row r="66" spans="1:2" x14ac:dyDescent="0.2">
      <c r="A66" s="4" t="s">
        <v>118</v>
      </c>
      <c r="B66" s="1">
        <v>555.86</v>
      </c>
    </row>
    <row r="67" spans="1:2" x14ac:dyDescent="0.2">
      <c r="A67" s="4" t="s">
        <v>119</v>
      </c>
      <c r="B67" s="1">
        <v>393.84</v>
      </c>
    </row>
    <row r="68" spans="1:2" x14ac:dyDescent="0.2">
      <c r="A68" s="4" t="s">
        <v>120</v>
      </c>
      <c r="B68" s="1">
        <v>169.27</v>
      </c>
    </row>
    <row r="69" spans="1:2" x14ac:dyDescent="0.2">
      <c r="A69" s="4" t="s">
        <v>121</v>
      </c>
      <c r="B69" s="1">
        <v>299.70999999999998</v>
      </c>
    </row>
    <row r="70" spans="1:2" x14ac:dyDescent="0.2">
      <c r="A70" s="4" t="s">
        <v>122</v>
      </c>
      <c r="B70" s="1">
        <v>207.66</v>
      </c>
    </row>
    <row r="71" spans="1:2" x14ac:dyDescent="0.2">
      <c r="A71" s="4" t="s">
        <v>57</v>
      </c>
      <c r="B71" s="1">
        <v>802.06</v>
      </c>
    </row>
    <row r="72" spans="1:2" x14ac:dyDescent="0.2">
      <c r="A72" s="4" t="s">
        <v>123</v>
      </c>
      <c r="B72" s="1">
        <v>183.27</v>
      </c>
    </row>
    <row r="73" spans="1:2" x14ac:dyDescent="0.2">
      <c r="A73" s="4" t="s">
        <v>124</v>
      </c>
      <c r="B73" s="1">
        <v>405.17</v>
      </c>
    </row>
    <row r="74" spans="1:2" x14ac:dyDescent="0.2">
      <c r="A74" s="4" t="s">
        <v>125</v>
      </c>
      <c r="B74" s="1">
        <v>677.94</v>
      </c>
    </row>
    <row r="75" spans="1:2" x14ac:dyDescent="0.2">
      <c r="A75" s="4" t="s">
        <v>126</v>
      </c>
      <c r="B75" s="1">
        <v>866.47</v>
      </c>
    </row>
    <row r="76" spans="1:2" x14ac:dyDescent="0.2">
      <c r="A76" s="4" t="s">
        <v>127</v>
      </c>
      <c r="B76" s="1">
        <v>341.55</v>
      </c>
    </row>
    <row r="77" spans="1:2" x14ac:dyDescent="0.2">
      <c r="A77" s="4" t="s">
        <v>128</v>
      </c>
      <c r="B77" s="1">
        <v>873.13</v>
      </c>
    </row>
    <row r="78" spans="1:2" x14ac:dyDescent="0.2">
      <c r="A78" s="4" t="s">
        <v>129</v>
      </c>
      <c r="B78" s="1">
        <v>997.41</v>
      </c>
    </row>
    <row r="79" spans="1:2" x14ac:dyDescent="0.2">
      <c r="A79" s="4" t="s">
        <v>130</v>
      </c>
      <c r="B79" s="1">
        <v>852.57</v>
      </c>
    </row>
    <row r="80" spans="1:2" x14ac:dyDescent="0.2">
      <c r="A80" s="4" t="s">
        <v>131</v>
      </c>
      <c r="B80" s="1">
        <v>323.58999999999997</v>
      </c>
    </row>
    <row r="81" spans="1:2" x14ac:dyDescent="0.2">
      <c r="A81" s="4" t="s">
        <v>132</v>
      </c>
      <c r="B81" s="1">
        <v>351.5</v>
      </c>
    </row>
    <row r="82" spans="1:2" x14ac:dyDescent="0.2">
      <c r="A82" s="4" t="s">
        <v>58</v>
      </c>
      <c r="B82" s="1">
        <v>505.56</v>
      </c>
    </row>
    <row r="83" spans="1:2" x14ac:dyDescent="0.2">
      <c r="A83" s="4" t="s">
        <v>133</v>
      </c>
      <c r="B83" s="1">
        <v>787.78</v>
      </c>
    </row>
    <row r="84" spans="1:2" x14ac:dyDescent="0.2">
      <c r="A84" s="4" t="s">
        <v>134</v>
      </c>
      <c r="B84" s="1">
        <v>276.77999999999997</v>
      </c>
    </row>
    <row r="85" spans="1:2" x14ac:dyDescent="0.2">
      <c r="A85" s="4" t="s">
        <v>135</v>
      </c>
      <c r="B85" s="1">
        <v>589.98</v>
      </c>
    </row>
    <row r="86" spans="1:2" x14ac:dyDescent="0.2">
      <c r="A86" s="4" t="s">
        <v>136</v>
      </c>
      <c r="B86" s="1">
        <v>682.97</v>
      </c>
    </row>
    <row r="87" spans="1:2" x14ac:dyDescent="0.2">
      <c r="A87" s="4" t="s">
        <v>137</v>
      </c>
      <c r="B87" s="1">
        <v>465.46</v>
      </c>
    </row>
    <row r="88" spans="1:2" x14ac:dyDescent="0.2">
      <c r="A88" s="4" t="s">
        <v>138</v>
      </c>
      <c r="B88" s="1">
        <v>842.69</v>
      </c>
    </row>
    <row r="89" spans="1:2" x14ac:dyDescent="0.2">
      <c r="A89" s="4" t="s">
        <v>139</v>
      </c>
      <c r="B89" s="1">
        <v>264.25</v>
      </c>
    </row>
    <row r="90" spans="1:2" x14ac:dyDescent="0.2">
      <c r="A90" s="4" t="s">
        <v>140</v>
      </c>
      <c r="B90" s="1">
        <v>879.36</v>
      </c>
    </row>
    <row r="91" spans="1:2" x14ac:dyDescent="0.2">
      <c r="A91" s="4" t="s">
        <v>141</v>
      </c>
      <c r="B91" s="1">
        <v>103.92</v>
      </c>
    </row>
    <row r="92" spans="1:2" x14ac:dyDescent="0.2">
      <c r="A92" s="4" t="s">
        <v>142</v>
      </c>
      <c r="B92" s="1">
        <v>517.5</v>
      </c>
    </row>
    <row r="93" spans="1:2" x14ac:dyDescent="0.2">
      <c r="A93" s="4" t="s">
        <v>59</v>
      </c>
      <c r="B93" s="1">
        <v>995.93</v>
      </c>
    </row>
    <row r="94" spans="1:2" x14ac:dyDescent="0.2">
      <c r="A94" s="4" t="s">
        <v>143</v>
      </c>
      <c r="B94" s="1">
        <v>990.08</v>
      </c>
    </row>
    <row r="95" spans="1:2" x14ac:dyDescent="0.2">
      <c r="A95" s="4" t="s">
        <v>144</v>
      </c>
      <c r="B95" s="1">
        <v>996.78</v>
      </c>
    </row>
    <row r="96" spans="1:2" x14ac:dyDescent="0.2">
      <c r="A96" s="4" t="s">
        <v>145</v>
      </c>
      <c r="B96" s="1">
        <v>230.09</v>
      </c>
    </row>
    <row r="97" spans="1:2" x14ac:dyDescent="0.2">
      <c r="A97" s="4" t="s">
        <v>146</v>
      </c>
      <c r="B97" s="1">
        <v>823.52</v>
      </c>
    </row>
    <row r="98" spans="1:2" x14ac:dyDescent="0.2">
      <c r="A98" s="4" t="s">
        <v>147</v>
      </c>
      <c r="B98" s="1">
        <v>846.67</v>
      </c>
    </row>
    <row r="99" spans="1:2" x14ac:dyDescent="0.2">
      <c r="A99" s="4" t="s">
        <v>148</v>
      </c>
      <c r="B99" s="1">
        <v>778.86</v>
      </c>
    </row>
    <row r="100" spans="1:2" x14ac:dyDescent="0.2">
      <c r="A100" s="4" t="s">
        <v>149</v>
      </c>
      <c r="B100" s="1">
        <v>188.74</v>
      </c>
    </row>
    <row r="101" spans="1:2" x14ac:dyDescent="0.2">
      <c r="A101" s="4" t="s">
        <v>150</v>
      </c>
      <c r="B101" s="1">
        <v>540.13</v>
      </c>
    </row>
    <row r="102" spans="1:2" x14ac:dyDescent="0.2">
      <c r="A102" s="4" t="s">
        <v>151</v>
      </c>
      <c r="B102" s="1">
        <v>882.2</v>
      </c>
    </row>
    <row r="103" spans="1:2" x14ac:dyDescent="0.2">
      <c r="A103" s="4" t="s">
        <v>152</v>
      </c>
      <c r="B103" s="1">
        <v>210.74</v>
      </c>
    </row>
    <row r="104" spans="1:2" x14ac:dyDescent="0.2">
      <c r="A104" s="4" t="s">
        <v>218</v>
      </c>
      <c r="B104" s="1"/>
    </row>
    <row r="105" spans="1:2" x14ac:dyDescent="0.2">
      <c r="A105" s="4" t="s">
        <v>211</v>
      </c>
      <c r="B105" s="1">
        <v>52924.569999999978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7F80-6398-43E4-B8BB-5AC7AC46DC0A}">
  <dimension ref="A3:B8"/>
  <sheetViews>
    <sheetView workbookViewId="0">
      <selection activeCell="E24" sqref="E24"/>
    </sheetView>
  </sheetViews>
  <sheetFormatPr defaultRowHeight="14.25" x14ac:dyDescent="0.2"/>
  <cols>
    <col min="1" max="1" width="13.125" bestFit="1" customWidth="1"/>
    <col min="2" max="2" width="24.5" bestFit="1" customWidth="1"/>
  </cols>
  <sheetData>
    <row r="3" spans="1:2" x14ac:dyDescent="0.2">
      <c r="A3" s="3" t="s">
        <v>210</v>
      </c>
      <c r="B3" t="s">
        <v>229</v>
      </c>
    </row>
    <row r="4" spans="1:2" x14ac:dyDescent="0.2">
      <c r="A4" s="4" t="s">
        <v>39</v>
      </c>
      <c r="B4" s="1">
        <v>6.0176923076923066</v>
      </c>
    </row>
    <row r="5" spans="1:2" x14ac:dyDescent="0.2">
      <c r="A5" s="4" t="s">
        <v>46</v>
      </c>
      <c r="B5" s="1">
        <v>5.4692857142857125</v>
      </c>
    </row>
    <row r="6" spans="1:2" x14ac:dyDescent="0.2">
      <c r="A6" s="4" t="s">
        <v>30</v>
      </c>
      <c r="B6" s="1">
        <v>5.5424137931034476</v>
      </c>
    </row>
    <row r="7" spans="1:2" x14ac:dyDescent="0.2">
      <c r="A7" s="4" t="s">
        <v>55</v>
      </c>
      <c r="B7" s="1">
        <v>4.9699999999999989</v>
      </c>
    </row>
    <row r="8" spans="1:2" x14ac:dyDescent="0.2">
      <c r="A8" s="4" t="s">
        <v>211</v>
      </c>
      <c r="B8" s="1">
        <v>5.5482000000000005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3D21-1F7E-4068-9AE2-E7B26AB9E7B0}">
  <dimension ref="A3:B7"/>
  <sheetViews>
    <sheetView workbookViewId="0">
      <selection activeCell="A3" sqref="A3"/>
    </sheetView>
  </sheetViews>
  <sheetFormatPr defaultRowHeight="14.25" x14ac:dyDescent="0.2"/>
  <cols>
    <col min="1" max="1" width="13.125" bestFit="1" customWidth="1"/>
    <col min="2" max="2" width="20.875" bestFit="1" customWidth="1"/>
  </cols>
  <sheetData>
    <row r="3" spans="1:2" x14ac:dyDescent="0.2">
      <c r="A3" s="3" t="s">
        <v>210</v>
      </c>
      <c r="B3" t="s">
        <v>230</v>
      </c>
    </row>
    <row r="4" spans="1:2" x14ac:dyDescent="0.2">
      <c r="A4" s="4" t="s">
        <v>47</v>
      </c>
      <c r="B4" s="1">
        <v>259</v>
      </c>
    </row>
    <row r="5" spans="1:2" x14ac:dyDescent="0.2">
      <c r="A5" s="4" t="s">
        <v>31</v>
      </c>
      <c r="B5" s="1">
        <v>211</v>
      </c>
    </row>
    <row r="6" spans="1:2" x14ac:dyDescent="0.2">
      <c r="A6" s="4" t="s">
        <v>40</v>
      </c>
      <c r="B6" s="1">
        <v>105</v>
      </c>
    </row>
    <row r="7" spans="1:2" x14ac:dyDescent="0.2">
      <c r="A7" s="4" t="s">
        <v>211</v>
      </c>
      <c r="B7" s="1">
        <v>575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AF59-B692-4A22-8139-C592E22ADD56}">
  <dimension ref="A3:D9"/>
  <sheetViews>
    <sheetView workbookViewId="0">
      <selection activeCell="C23" sqref="C23"/>
    </sheetView>
  </sheetViews>
  <sheetFormatPr defaultRowHeight="14.25" x14ac:dyDescent="0.2"/>
  <cols>
    <col min="1" max="1" width="13.125" bestFit="1" customWidth="1"/>
    <col min="2" max="2" width="20.875" bestFit="1" customWidth="1"/>
    <col min="3" max="3" width="26" bestFit="1" customWidth="1"/>
    <col min="4" max="4" width="17.375" bestFit="1" customWidth="1"/>
  </cols>
  <sheetData>
    <row r="3" spans="1:4" x14ac:dyDescent="0.2">
      <c r="A3" s="3" t="s">
        <v>210</v>
      </c>
      <c r="B3" t="s">
        <v>228</v>
      </c>
      <c r="C3" t="s">
        <v>232</v>
      </c>
      <c r="D3" t="s">
        <v>233</v>
      </c>
    </row>
    <row r="4" spans="1:4" x14ac:dyDescent="0.2">
      <c r="A4" s="4" t="s">
        <v>38</v>
      </c>
      <c r="B4" s="1">
        <v>148.83000000000001</v>
      </c>
      <c r="C4" s="1">
        <v>1221.8499999999999</v>
      </c>
      <c r="D4" s="1">
        <v>453</v>
      </c>
    </row>
    <row r="5" spans="1:4" x14ac:dyDescent="0.2">
      <c r="A5" s="4" t="s">
        <v>60</v>
      </c>
      <c r="B5" s="1">
        <v>126.25999999999999</v>
      </c>
      <c r="C5" s="1">
        <v>915.68</v>
      </c>
      <c r="D5" s="1">
        <v>357</v>
      </c>
    </row>
    <row r="6" spans="1:4" x14ac:dyDescent="0.2">
      <c r="A6" s="4" t="s">
        <v>27</v>
      </c>
      <c r="B6" s="1">
        <v>71.839999999999989</v>
      </c>
      <c r="C6" s="1">
        <v>654.52</v>
      </c>
      <c r="D6" s="1">
        <v>215</v>
      </c>
    </row>
    <row r="7" spans="1:4" x14ac:dyDescent="0.2">
      <c r="A7" s="4" t="s">
        <v>51</v>
      </c>
      <c r="B7" s="1">
        <v>103.66000000000001</v>
      </c>
      <c r="C7" s="1">
        <v>1128.7600000000002</v>
      </c>
      <c r="D7" s="1">
        <v>306</v>
      </c>
    </row>
    <row r="8" spans="1:4" x14ac:dyDescent="0.2">
      <c r="A8" s="4" t="s">
        <v>43</v>
      </c>
      <c r="B8" s="1">
        <v>104.22999999999999</v>
      </c>
      <c r="C8" s="1">
        <v>805.83000000000027</v>
      </c>
      <c r="D8" s="1">
        <v>265</v>
      </c>
    </row>
    <row r="9" spans="1:4" x14ac:dyDescent="0.2">
      <c r="A9" s="4" t="s">
        <v>211</v>
      </c>
      <c r="B9" s="1">
        <v>554.82000000000005</v>
      </c>
      <c r="C9" s="1">
        <v>4726.6400000000003</v>
      </c>
      <c r="D9" s="1">
        <v>1596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C08F-C11F-4C9D-BF36-1BA70636B02A}">
  <dimension ref="A1:AD204"/>
  <sheetViews>
    <sheetView topLeftCell="O1" zoomScaleNormal="100" workbookViewId="0">
      <selection sqref="A1:X102"/>
    </sheetView>
  </sheetViews>
  <sheetFormatPr defaultRowHeight="14.25" x14ac:dyDescent="0.2"/>
  <cols>
    <col min="1" max="1" width="14.125" bestFit="1" customWidth="1"/>
    <col min="2" max="2" width="6.875" bestFit="1" customWidth="1"/>
    <col min="3" max="3" width="7.5" bestFit="1" customWidth="1"/>
    <col min="4" max="4" width="12.25" bestFit="1" customWidth="1"/>
    <col min="5" max="5" width="25.125" bestFit="1" customWidth="1"/>
    <col min="6" max="6" width="20.875" bestFit="1" customWidth="1"/>
    <col min="7" max="7" width="24.875" bestFit="1" customWidth="1"/>
    <col min="8" max="8" width="13.75" bestFit="1" customWidth="1"/>
    <col min="9" max="9" width="12.5" bestFit="1" customWidth="1"/>
    <col min="10" max="10" width="17.5" bestFit="1" customWidth="1"/>
    <col min="11" max="11" width="16.125" bestFit="1" customWidth="1"/>
    <col min="12" max="12" width="18.25" bestFit="1" customWidth="1"/>
    <col min="13" max="13" width="16.125" bestFit="1" customWidth="1"/>
    <col min="14" max="14" width="15.75" bestFit="1" customWidth="1"/>
    <col min="15" max="15" width="10.5" bestFit="1" customWidth="1"/>
    <col min="16" max="16" width="11.5" bestFit="1" customWidth="1"/>
    <col min="17" max="17" width="20.875" bestFit="1" customWidth="1"/>
    <col min="18" max="18" width="24.5" bestFit="1" customWidth="1"/>
    <col min="19" max="19" width="21.125" bestFit="1" customWidth="1"/>
    <col min="20" max="20" width="18.875" bestFit="1" customWidth="1"/>
    <col min="21" max="21" width="13.75" bestFit="1" customWidth="1"/>
    <col min="22" max="22" width="22.625" bestFit="1" customWidth="1"/>
    <col min="23" max="23" width="9.25" bestFit="1" customWidth="1"/>
    <col min="24" max="24" width="8" bestFit="1" customWidth="1"/>
    <col min="25" max="25" width="23" bestFit="1" customWidth="1"/>
    <col min="26" max="26" width="22.75" bestFit="1" customWidth="1"/>
    <col min="27" max="27" width="24.875" bestFit="1" customWidth="1"/>
    <col min="28" max="28" width="21.5" bestFit="1" customWidth="1"/>
    <col min="29" max="29" width="30.625" bestFit="1" customWidth="1"/>
    <col min="30" max="30" width="26.75" bestFit="1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224</v>
      </c>
      <c r="Y1" t="s">
        <v>216</v>
      </c>
      <c r="Z1" t="s">
        <v>219</v>
      </c>
      <c r="AA1" t="s">
        <v>222</v>
      </c>
      <c r="AB1" t="s">
        <v>223</v>
      </c>
      <c r="AC1" t="s">
        <v>225</v>
      </c>
      <c r="AD1" t="s">
        <v>231</v>
      </c>
    </row>
    <row r="2" spans="1:30" x14ac:dyDescent="0.2">
      <c r="A2" s="1" t="s">
        <v>23</v>
      </c>
      <c r="B2" s="1" t="s">
        <v>24</v>
      </c>
      <c r="C2">
        <v>69.81</v>
      </c>
      <c r="D2">
        <v>55</v>
      </c>
      <c r="E2">
        <v>802</v>
      </c>
      <c r="F2">
        <v>8662</v>
      </c>
      <c r="G2" s="1" t="s">
        <v>25</v>
      </c>
      <c r="H2">
        <v>58</v>
      </c>
      <c r="I2">
        <v>7</v>
      </c>
      <c r="J2">
        <v>96</v>
      </c>
      <c r="K2">
        <v>4</v>
      </c>
      <c r="L2" s="1" t="s">
        <v>26</v>
      </c>
      <c r="M2">
        <v>2.96</v>
      </c>
      <c r="N2" s="1" t="s">
        <v>27</v>
      </c>
      <c r="O2" s="1" t="s">
        <v>28</v>
      </c>
      <c r="P2">
        <v>29</v>
      </c>
      <c r="Q2">
        <v>215</v>
      </c>
      <c r="R2">
        <v>29</v>
      </c>
      <c r="S2">
        <v>46.28</v>
      </c>
      <c r="T2" s="1" t="s">
        <v>29</v>
      </c>
      <c r="U2">
        <v>0.23</v>
      </c>
      <c r="V2" s="1" t="s">
        <v>30</v>
      </c>
      <c r="W2" s="1" t="s">
        <v>31</v>
      </c>
      <c r="X2">
        <v>187.75</v>
      </c>
      <c r="Y2" s="6" cm="1">
        <f t="array" ref="Y2:Y101">supply_chain_data[Number of products sold] / AVERAGE(supply_chain_data[Stock levels])</f>
        <v>16.788779568767008</v>
      </c>
      <c r="Z2" t="str" cm="1">
        <f t="array" ref="Z2:Z101">IF(supply_chain_data[Stock levels] &gt; supply_chain_data[Number of products sold], "overstock","normal")</f>
        <v>normal</v>
      </c>
      <c r="AA2" s="5" cm="1">
        <f t="array" ref="AA2:AA101">supply_chain_data[Production volumes] / (supply_chain_data[Shipping costs] + supply_chain_data[Manufacturing costs])</f>
        <v>4.3663688058489027</v>
      </c>
      <c r="AB2" s="6" cm="1">
        <f t="array" ref="AB2:AB101">supply_chain_data[Production volumes] / supply_chain_data[Manufacturing lead time]</f>
        <v>7.4137931034482758</v>
      </c>
      <c r="AC2" s="6" cm="1">
        <f t="array" ref="AC2:AC101" xml:space="preserve"> supply_chain_data[Production volumes] / supply_chain_data[Manufacturing costs]</f>
        <v>4.6456352636127916</v>
      </c>
      <c r="AD2" cm="1">
        <f t="array" ref="AD2:AD101">supply_chain_data[Manufacturing costs] + supply_chain_data[Shipping costs] + supply_chain_data[costs]</f>
        <v>236.99</v>
      </c>
    </row>
    <row r="3" spans="1:30" x14ac:dyDescent="0.2">
      <c r="A3" s="1" t="s">
        <v>32</v>
      </c>
      <c r="B3" s="1" t="s">
        <v>33</v>
      </c>
      <c r="C3">
        <v>14.84</v>
      </c>
      <c r="D3">
        <v>95</v>
      </c>
      <c r="E3">
        <v>736</v>
      </c>
      <c r="F3">
        <v>7460.9</v>
      </c>
      <c r="G3" s="1" t="s">
        <v>34</v>
      </c>
      <c r="H3">
        <v>53</v>
      </c>
      <c r="I3">
        <v>30</v>
      </c>
      <c r="J3">
        <v>37</v>
      </c>
      <c r="K3">
        <v>2</v>
      </c>
      <c r="L3" s="1" t="s">
        <v>35</v>
      </c>
      <c r="M3">
        <v>9.7200000000000006</v>
      </c>
      <c r="N3" s="1" t="s">
        <v>27</v>
      </c>
      <c r="O3" s="1" t="s">
        <v>28</v>
      </c>
      <c r="P3">
        <v>23</v>
      </c>
      <c r="Q3">
        <v>517</v>
      </c>
      <c r="R3">
        <v>30</v>
      </c>
      <c r="S3">
        <v>33.619999999999997</v>
      </c>
      <c r="T3" s="1" t="s">
        <v>29</v>
      </c>
      <c r="U3">
        <v>4.8499999999999996</v>
      </c>
      <c r="V3" s="1" t="s">
        <v>30</v>
      </c>
      <c r="W3" s="1" t="s">
        <v>31</v>
      </c>
      <c r="X3">
        <v>503.07</v>
      </c>
      <c r="Y3" s="6">
        <v>15.407159305003139</v>
      </c>
      <c r="Z3" t="str">
        <v>normal</v>
      </c>
      <c r="AA3" s="5">
        <v>11.928934010152286</v>
      </c>
      <c r="AB3" s="6">
        <v>17.233333333333334</v>
      </c>
      <c r="AC3" s="6">
        <v>15.377751338488995</v>
      </c>
      <c r="AD3">
        <v>546.41</v>
      </c>
    </row>
    <row r="4" spans="1:30" x14ac:dyDescent="0.2">
      <c r="A4" s="1" t="s">
        <v>23</v>
      </c>
      <c r="B4" s="1" t="s">
        <v>36</v>
      </c>
      <c r="C4">
        <v>11.32</v>
      </c>
      <c r="D4">
        <v>34</v>
      </c>
      <c r="E4">
        <v>8</v>
      </c>
      <c r="F4">
        <v>9577.75</v>
      </c>
      <c r="G4" s="1" t="s">
        <v>37</v>
      </c>
      <c r="H4">
        <v>1</v>
      </c>
      <c r="I4">
        <v>10</v>
      </c>
      <c r="J4">
        <v>88</v>
      </c>
      <c r="K4">
        <v>2</v>
      </c>
      <c r="L4" s="1" t="s">
        <v>26</v>
      </c>
      <c r="M4">
        <v>8.0500000000000007</v>
      </c>
      <c r="N4" s="1" t="s">
        <v>38</v>
      </c>
      <c r="O4" s="1" t="s">
        <v>28</v>
      </c>
      <c r="P4">
        <v>12</v>
      </c>
      <c r="Q4">
        <v>971</v>
      </c>
      <c r="R4">
        <v>27</v>
      </c>
      <c r="S4">
        <v>30.69</v>
      </c>
      <c r="T4" s="1" t="s">
        <v>29</v>
      </c>
      <c r="U4">
        <v>4.58</v>
      </c>
      <c r="V4" s="1" t="s">
        <v>39</v>
      </c>
      <c r="W4" s="1" t="s">
        <v>40</v>
      </c>
      <c r="X4">
        <v>141.91999999999999</v>
      </c>
      <c r="Y4" s="6">
        <v>0.16746912288046889</v>
      </c>
      <c r="Z4" t="str">
        <v>normal</v>
      </c>
      <c r="AA4" s="5">
        <v>25.064532782653586</v>
      </c>
      <c r="AB4" s="6">
        <v>35.962962962962962</v>
      </c>
      <c r="AC4" s="6">
        <v>31.638970348647767</v>
      </c>
      <c r="AD4">
        <v>180.66</v>
      </c>
    </row>
    <row r="5" spans="1:30" x14ac:dyDescent="0.2">
      <c r="A5" s="1" t="s">
        <v>32</v>
      </c>
      <c r="B5" s="1" t="s">
        <v>41</v>
      </c>
      <c r="C5">
        <v>61.16</v>
      </c>
      <c r="D5">
        <v>68</v>
      </c>
      <c r="E5">
        <v>83</v>
      </c>
      <c r="F5">
        <v>7766.84</v>
      </c>
      <c r="G5" s="1" t="s">
        <v>25</v>
      </c>
      <c r="H5">
        <v>23</v>
      </c>
      <c r="I5">
        <v>13</v>
      </c>
      <c r="J5">
        <v>59</v>
      </c>
      <c r="K5">
        <v>6</v>
      </c>
      <c r="L5" s="1" t="s">
        <v>42</v>
      </c>
      <c r="M5">
        <v>1.73</v>
      </c>
      <c r="N5" s="1" t="s">
        <v>43</v>
      </c>
      <c r="O5" s="1" t="s">
        <v>44</v>
      </c>
      <c r="P5">
        <v>24</v>
      </c>
      <c r="Q5">
        <v>937</v>
      </c>
      <c r="R5">
        <v>18</v>
      </c>
      <c r="S5">
        <v>35.619999999999997</v>
      </c>
      <c r="T5" s="1" t="s">
        <v>45</v>
      </c>
      <c r="U5">
        <v>4.75</v>
      </c>
      <c r="V5" s="1" t="s">
        <v>46</v>
      </c>
      <c r="W5" s="1" t="s">
        <v>47</v>
      </c>
      <c r="X5">
        <v>254.78</v>
      </c>
      <c r="Y5" s="6">
        <v>1.7374921498848648</v>
      </c>
      <c r="Z5" t="str">
        <v>normal</v>
      </c>
      <c r="AA5" s="5">
        <v>25.087014725568945</v>
      </c>
      <c r="AB5" s="6">
        <v>52.055555555555557</v>
      </c>
      <c r="AC5" s="6">
        <v>26.305446378439083</v>
      </c>
      <c r="AD5">
        <v>292.13</v>
      </c>
    </row>
    <row r="6" spans="1:30" x14ac:dyDescent="0.2">
      <c r="A6" s="1" t="s">
        <v>32</v>
      </c>
      <c r="B6" s="1" t="s">
        <v>48</v>
      </c>
      <c r="C6">
        <v>4.8099999999999996</v>
      </c>
      <c r="D6">
        <v>26</v>
      </c>
      <c r="E6">
        <v>871</v>
      </c>
      <c r="F6">
        <v>2686.51</v>
      </c>
      <c r="G6" s="1" t="s">
        <v>25</v>
      </c>
      <c r="H6">
        <v>5</v>
      </c>
      <c r="I6">
        <v>3</v>
      </c>
      <c r="J6">
        <v>56</v>
      </c>
      <c r="K6">
        <v>8</v>
      </c>
      <c r="L6" s="1" t="s">
        <v>35</v>
      </c>
      <c r="M6">
        <v>3.89</v>
      </c>
      <c r="N6" s="1" t="s">
        <v>38</v>
      </c>
      <c r="O6" s="1" t="s">
        <v>49</v>
      </c>
      <c r="P6">
        <v>5</v>
      </c>
      <c r="Q6">
        <v>414</v>
      </c>
      <c r="R6">
        <v>3</v>
      </c>
      <c r="S6">
        <v>92.07</v>
      </c>
      <c r="T6" s="1" t="s">
        <v>45</v>
      </c>
      <c r="U6">
        <v>3.15</v>
      </c>
      <c r="V6" s="1" t="s">
        <v>39</v>
      </c>
      <c r="W6" s="1" t="s">
        <v>47</v>
      </c>
      <c r="X6">
        <v>923.44</v>
      </c>
      <c r="Y6" s="6">
        <v>18.233200753611051</v>
      </c>
      <c r="Z6" t="str">
        <v>normal</v>
      </c>
      <c r="AA6" s="5">
        <v>4.3142976240100044</v>
      </c>
      <c r="AB6" s="6">
        <v>138</v>
      </c>
      <c r="AC6" s="6">
        <v>4.4965786901270777</v>
      </c>
      <c r="AD6">
        <v>1019.4000000000001</v>
      </c>
    </row>
    <row r="7" spans="1:30" x14ac:dyDescent="0.2">
      <c r="A7" s="1" t="s">
        <v>23</v>
      </c>
      <c r="B7" s="1" t="s">
        <v>50</v>
      </c>
      <c r="C7">
        <v>1.7</v>
      </c>
      <c r="D7">
        <v>87</v>
      </c>
      <c r="E7">
        <v>147</v>
      </c>
      <c r="F7">
        <v>2828.35</v>
      </c>
      <c r="G7" s="1" t="s">
        <v>25</v>
      </c>
      <c r="H7">
        <v>90</v>
      </c>
      <c r="I7">
        <v>27</v>
      </c>
      <c r="J7">
        <v>66</v>
      </c>
      <c r="K7">
        <v>3</v>
      </c>
      <c r="L7" s="1" t="s">
        <v>26</v>
      </c>
      <c r="M7">
        <v>4.4400000000000004</v>
      </c>
      <c r="N7" s="1" t="s">
        <v>51</v>
      </c>
      <c r="O7" s="1" t="s">
        <v>52</v>
      </c>
      <c r="P7">
        <v>10</v>
      </c>
      <c r="Q7">
        <v>104</v>
      </c>
      <c r="R7">
        <v>17</v>
      </c>
      <c r="S7">
        <v>56.77</v>
      </c>
      <c r="T7" s="1" t="s">
        <v>45</v>
      </c>
      <c r="U7">
        <v>2.78</v>
      </c>
      <c r="V7" s="1" t="s">
        <v>30</v>
      </c>
      <c r="W7" s="1" t="s">
        <v>47</v>
      </c>
      <c r="X7">
        <v>235.46</v>
      </c>
      <c r="Y7" s="6">
        <v>3.0772451329286161</v>
      </c>
      <c r="Z7" t="str">
        <v>normal</v>
      </c>
      <c r="AA7" s="5">
        <v>1.6990687796111745</v>
      </c>
      <c r="AB7" s="6">
        <v>6.117647058823529</v>
      </c>
      <c r="AC7" s="6">
        <v>1.831953496565087</v>
      </c>
      <c r="AD7">
        <v>296.67</v>
      </c>
    </row>
    <row r="8" spans="1:30" x14ac:dyDescent="0.2">
      <c r="A8" s="1" t="s">
        <v>32</v>
      </c>
      <c r="B8" s="1" t="s">
        <v>53</v>
      </c>
      <c r="C8">
        <v>4.08</v>
      </c>
      <c r="D8">
        <v>48</v>
      </c>
      <c r="E8">
        <v>65</v>
      </c>
      <c r="F8">
        <v>7823.48</v>
      </c>
      <c r="G8" s="1" t="s">
        <v>54</v>
      </c>
      <c r="H8">
        <v>11</v>
      </c>
      <c r="I8">
        <v>15</v>
      </c>
      <c r="J8">
        <v>58</v>
      </c>
      <c r="K8">
        <v>8</v>
      </c>
      <c r="L8" s="1" t="s">
        <v>42</v>
      </c>
      <c r="M8">
        <v>3.88</v>
      </c>
      <c r="N8" s="1" t="s">
        <v>27</v>
      </c>
      <c r="O8" s="1" t="s">
        <v>44</v>
      </c>
      <c r="P8">
        <v>14</v>
      </c>
      <c r="Q8">
        <v>314</v>
      </c>
      <c r="R8">
        <v>24</v>
      </c>
      <c r="S8">
        <v>1.0900000000000001</v>
      </c>
      <c r="T8" s="1" t="s">
        <v>29</v>
      </c>
      <c r="U8">
        <v>1</v>
      </c>
      <c r="V8" s="1" t="s">
        <v>55</v>
      </c>
      <c r="W8" s="1" t="s">
        <v>47</v>
      </c>
      <c r="X8">
        <v>134.37</v>
      </c>
      <c r="Y8" s="6">
        <v>1.3606866234038097</v>
      </c>
      <c r="Z8" t="str">
        <v>normal</v>
      </c>
      <c r="AA8" s="5">
        <v>63.179074446680083</v>
      </c>
      <c r="AB8" s="6">
        <v>13.083333333333334</v>
      </c>
      <c r="AC8" s="6">
        <v>288.0733944954128</v>
      </c>
      <c r="AD8">
        <v>139.34</v>
      </c>
    </row>
    <row r="9" spans="1:30" x14ac:dyDescent="0.2">
      <c r="A9" s="1" t="s">
        <v>56</v>
      </c>
      <c r="B9" s="1" t="s">
        <v>57</v>
      </c>
      <c r="C9">
        <v>42.96</v>
      </c>
      <c r="D9">
        <v>59</v>
      </c>
      <c r="E9">
        <v>426</v>
      </c>
      <c r="F9">
        <v>8496.1</v>
      </c>
      <c r="G9" s="1" t="s">
        <v>34</v>
      </c>
      <c r="H9">
        <v>93</v>
      </c>
      <c r="I9">
        <v>17</v>
      </c>
      <c r="J9">
        <v>11</v>
      </c>
      <c r="K9">
        <v>1</v>
      </c>
      <c r="L9" s="1" t="s">
        <v>26</v>
      </c>
      <c r="M9">
        <v>2.35</v>
      </c>
      <c r="N9" s="1" t="s">
        <v>51</v>
      </c>
      <c r="O9" s="1" t="s">
        <v>52</v>
      </c>
      <c r="P9">
        <v>22</v>
      </c>
      <c r="Q9">
        <v>564</v>
      </c>
      <c r="R9">
        <v>1</v>
      </c>
      <c r="S9">
        <v>99.47</v>
      </c>
      <c r="T9" s="1" t="s">
        <v>45</v>
      </c>
      <c r="U9">
        <v>0.4</v>
      </c>
      <c r="V9" s="1" t="s">
        <v>30</v>
      </c>
      <c r="W9" s="1" t="s">
        <v>40</v>
      </c>
      <c r="X9">
        <v>802.06</v>
      </c>
      <c r="Y9" s="6">
        <v>8.917730793384969</v>
      </c>
      <c r="Z9" t="str">
        <v>normal</v>
      </c>
      <c r="AA9" s="5">
        <v>5.5391868002357105</v>
      </c>
      <c r="AB9" s="6">
        <v>564</v>
      </c>
      <c r="AC9" s="6">
        <v>5.6700512717402232</v>
      </c>
      <c r="AD9">
        <v>903.87999999999988</v>
      </c>
    </row>
    <row r="10" spans="1:30" x14ac:dyDescent="0.2">
      <c r="A10" s="1" t="s">
        <v>56</v>
      </c>
      <c r="B10" s="1" t="s">
        <v>58</v>
      </c>
      <c r="C10">
        <v>68.72</v>
      </c>
      <c r="D10">
        <v>78</v>
      </c>
      <c r="E10">
        <v>150</v>
      </c>
      <c r="F10">
        <v>7517.36</v>
      </c>
      <c r="G10" s="1" t="s">
        <v>34</v>
      </c>
      <c r="H10">
        <v>5</v>
      </c>
      <c r="I10">
        <v>10</v>
      </c>
      <c r="J10">
        <v>15</v>
      </c>
      <c r="K10">
        <v>7</v>
      </c>
      <c r="L10" s="1" t="s">
        <v>42</v>
      </c>
      <c r="M10">
        <v>3.4</v>
      </c>
      <c r="N10" s="1" t="s">
        <v>51</v>
      </c>
      <c r="O10" s="1" t="s">
        <v>28</v>
      </c>
      <c r="P10">
        <v>13</v>
      </c>
      <c r="Q10">
        <v>769</v>
      </c>
      <c r="R10">
        <v>8</v>
      </c>
      <c r="S10">
        <v>11.42</v>
      </c>
      <c r="T10" s="1" t="s">
        <v>29</v>
      </c>
      <c r="U10">
        <v>2.71</v>
      </c>
      <c r="V10" s="1" t="s">
        <v>55</v>
      </c>
      <c r="W10" s="1" t="s">
        <v>31</v>
      </c>
      <c r="X10">
        <v>505.56</v>
      </c>
      <c r="Y10" s="6">
        <v>3.140046054008792</v>
      </c>
      <c r="Z10" t="str">
        <v>normal</v>
      </c>
      <c r="AA10" s="5">
        <v>51.889338731443992</v>
      </c>
      <c r="AB10" s="6">
        <v>96.125</v>
      </c>
      <c r="AC10" s="6">
        <v>67.338003502626975</v>
      </c>
      <c r="AD10">
        <v>520.38</v>
      </c>
    </row>
    <row r="11" spans="1:30" x14ac:dyDescent="0.2">
      <c r="A11" s="1" t="s">
        <v>32</v>
      </c>
      <c r="B11" s="1" t="s">
        <v>59</v>
      </c>
      <c r="C11">
        <v>64.02</v>
      </c>
      <c r="D11">
        <v>35</v>
      </c>
      <c r="E11">
        <v>980</v>
      </c>
      <c r="F11">
        <v>4971.1499999999996</v>
      </c>
      <c r="G11" s="1" t="s">
        <v>37</v>
      </c>
      <c r="H11">
        <v>14</v>
      </c>
      <c r="I11">
        <v>27</v>
      </c>
      <c r="J11">
        <v>83</v>
      </c>
      <c r="K11">
        <v>1</v>
      </c>
      <c r="L11" s="1" t="s">
        <v>35</v>
      </c>
      <c r="M11">
        <v>7.17</v>
      </c>
      <c r="N11" s="1" t="s">
        <v>60</v>
      </c>
      <c r="O11" s="1" t="s">
        <v>61</v>
      </c>
      <c r="P11">
        <v>29</v>
      </c>
      <c r="Q11">
        <v>963</v>
      </c>
      <c r="R11">
        <v>23</v>
      </c>
      <c r="S11">
        <v>47.96</v>
      </c>
      <c r="T11" s="1" t="s">
        <v>29</v>
      </c>
      <c r="U11">
        <v>3.84</v>
      </c>
      <c r="V11" s="1" t="s">
        <v>46</v>
      </c>
      <c r="W11" s="1" t="s">
        <v>31</v>
      </c>
      <c r="X11">
        <v>995.93</v>
      </c>
      <c r="Y11" s="6">
        <v>20.514967552857442</v>
      </c>
      <c r="Z11" t="str">
        <v>normal</v>
      </c>
      <c r="AA11" s="5">
        <v>17.46780337384364</v>
      </c>
      <c r="AB11" s="6">
        <v>41.869565217391305</v>
      </c>
      <c r="AC11" s="6">
        <v>20.079232693911592</v>
      </c>
      <c r="AD11">
        <v>1051.06</v>
      </c>
    </row>
    <row r="12" spans="1:30" x14ac:dyDescent="0.2">
      <c r="A12" s="1" t="s">
        <v>32</v>
      </c>
      <c r="B12" s="1" t="s">
        <v>62</v>
      </c>
      <c r="C12">
        <v>15.71</v>
      </c>
      <c r="D12">
        <v>11</v>
      </c>
      <c r="E12">
        <v>996</v>
      </c>
      <c r="F12">
        <v>2330.9699999999998</v>
      </c>
      <c r="G12" s="1" t="s">
        <v>25</v>
      </c>
      <c r="H12">
        <v>51</v>
      </c>
      <c r="I12">
        <v>13</v>
      </c>
      <c r="J12">
        <v>80</v>
      </c>
      <c r="K12">
        <v>2</v>
      </c>
      <c r="L12" s="1" t="s">
        <v>42</v>
      </c>
      <c r="M12">
        <v>8.67</v>
      </c>
      <c r="N12" s="1" t="s">
        <v>43</v>
      </c>
      <c r="O12" s="1" t="s">
        <v>44</v>
      </c>
      <c r="P12">
        <v>18</v>
      </c>
      <c r="Q12">
        <v>830</v>
      </c>
      <c r="R12">
        <v>5</v>
      </c>
      <c r="S12">
        <v>96.53</v>
      </c>
      <c r="T12" s="1" t="s">
        <v>63</v>
      </c>
      <c r="U12">
        <v>1.73</v>
      </c>
      <c r="V12" s="1" t="s">
        <v>30</v>
      </c>
      <c r="W12" s="1" t="s">
        <v>31</v>
      </c>
      <c r="X12">
        <v>806.1</v>
      </c>
      <c r="Y12" s="6">
        <v>20.84990579861838</v>
      </c>
      <c r="Z12" t="str">
        <v>normal</v>
      </c>
      <c r="AA12" s="5">
        <v>7.8897338403041823</v>
      </c>
      <c r="AB12" s="6">
        <v>166</v>
      </c>
      <c r="AC12" s="6">
        <v>8.5983632031492796</v>
      </c>
      <c r="AD12">
        <v>911.30000000000007</v>
      </c>
    </row>
    <row r="13" spans="1:30" x14ac:dyDescent="0.2">
      <c r="A13" s="1" t="s">
        <v>32</v>
      </c>
      <c r="B13" s="1" t="s">
        <v>64</v>
      </c>
      <c r="C13">
        <v>90.64</v>
      </c>
      <c r="D13">
        <v>95</v>
      </c>
      <c r="E13">
        <v>960</v>
      </c>
      <c r="F13">
        <v>6099.94</v>
      </c>
      <c r="G13" s="1" t="s">
        <v>34</v>
      </c>
      <c r="H13">
        <v>46</v>
      </c>
      <c r="I13">
        <v>23</v>
      </c>
      <c r="J13">
        <v>60</v>
      </c>
      <c r="K13">
        <v>1</v>
      </c>
      <c r="L13" s="1" t="s">
        <v>35</v>
      </c>
      <c r="M13">
        <v>4.5199999999999996</v>
      </c>
      <c r="N13" s="1" t="s">
        <v>60</v>
      </c>
      <c r="O13" s="1" t="s">
        <v>44</v>
      </c>
      <c r="P13">
        <v>28</v>
      </c>
      <c r="Q13">
        <v>362</v>
      </c>
      <c r="R13">
        <v>11</v>
      </c>
      <c r="S13">
        <v>27.59</v>
      </c>
      <c r="T13" s="1" t="s">
        <v>29</v>
      </c>
      <c r="U13">
        <v>0.02</v>
      </c>
      <c r="V13" s="1" t="s">
        <v>39</v>
      </c>
      <c r="W13" s="1" t="s">
        <v>47</v>
      </c>
      <c r="X13">
        <v>126.72</v>
      </c>
      <c r="Y13" s="6">
        <v>20.096294745656269</v>
      </c>
      <c r="Z13" t="str">
        <v>normal</v>
      </c>
      <c r="AA13" s="5">
        <v>11.273746496418561</v>
      </c>
      <c r="AB13" s="6">
        <v>32.909090909090907</v>
      </c>
      <c r="AC13" s="6">
        <v>13.120695904313157</v>
      </c>
      <c r="AD13">
        <v>158.82999999999998</v>
      </c>
    </row>
    <row r="14" spans="1:30" x14ac:dyDescent="0.2">
      <c r="A14" s="1" t="s">
        <v>23</v>
      </c>
      <c r="B14" s="1" t="s">
        <v>65</v>
      </c>
      <c r="C14">
        <v>71.209999999999994</v>
      </c>
      <c r="D14">
        <v>41</v>
      </c>
      <c r="E14">
        <v>336</v>
      </c>
      <c r="F14">
        <v>2873.74</v>
      </c>
      <c r="G14" s="1" t="s">
        <v>37</v>
      </c>
      <c r="H14">
        <v>100</v>
      </c>
      <c r="I14">
        <v>30</v>
      </c>
      <c r="J14">
        <v>85</v>
      </c>
      <c r="K14">
        <v>4</v>
      </c>
      <c r="L14" s="1" t="s">
        <v>35</v>
      </c>
      <c r="M14">
        <v>1.33</v>
      </c>
      <c r="N14" s="1" t="s">
        <v>51</v>
      </c>
      <c r="O14" s="1" t="s">
        <v>44</v>
      </c>
      <c r="P14">
        <v>3</v>
      </c>
      <c r="Q14">
        <v>563</v>
      </c>
      <c r="R14">
        <v>3</v>
      </c>
      <c r="S14">
        <v>32.32</v>
      </c>
      <c r="T14" s="1" t="s">
        <v>45</v>
      </c>
      <c r="U14">
        <v>2.16</v>
      </c>
      <c r="V14" s="1" t="s">
        <v>30</v>
      </c>
      <c r="W14" s="1" t="s">
        <v>31</v>
      </c>
      <c r="X14">
        <v>402.97</v>
      </c>
      <c r="Y14" s="6">
        <v>7.0337031609796936</v>
      </c>
      <c r="Z14" t="str">
        <v>normal</v>
      </c>
      <c r="AA14" s="5">
        <v>16.731054977711739</v>
      </c>
      <c r="AB14" s="6">
        <v>187.66666666666666</v>
      </c>
      <c r="AC14" s="6">
        <v>17.419554455445546</v>
      </c>
      <c r="AD14">
        <v>436.62</v>
      </c>
    </row>
    <row r="15" spans="1:30" x14ac:dyDescent="0.2">
      <c r="A15" s="1" t="s">
        <v>32</v>
      </c>
      <c r="B15" s="1" t="s">
        <v>66</v>
      </c>
      <c r="C15">
        <v>16.16</v>
      </c>
      <c r="D15">
        <v>5</v>
      </c>
      <c r="E15">
        <v>249</v>
      </c>
      <c r="F15">
        <v>4052.74</v>
      </c>
      <c r="G15" s="1" t="s">
        <v>54</v>
      </c>
      <c r="H15">
        <v>80</v>
      </c>
      <c r="I15">
        <v>8</v>
      </c>
      <c r="J15">
        <v>48</v>
      </c>
      <c r="K15">
        <v>9</v>
      </c>
      <c r="L15" s="1" t="s">
        <v>35</v>
      </c>
      <c r="M15">
        <v>9.5399999999999991</v>
      </c>
      <c r="N15" s="1" t="s">
        <v>43</v>
      </c>
      <c r="O15" s="1" t="s">
        <v>52</v>
      </c>
      <c r="P15">
        <v>23</v>
      </c>
      <c r="Q15">
        <v>173</v>
      </c>
      <c r="R15">
        <v>10</v>
      </c>
      <c r="S15">
        <v>97.83</v>
      </c>
      <c r="T15" s="1" t="s">
        <v>29</v>
      </c>
      <c r="U15">
        <v>1.63</v>
      </c>
      <c r="V15" s="1" t="s">
        <v>30</v>
      </c>
      <c r="W15" s="1" t="s">
        <v>31</v>
      </c>
      <c r="X15">
        <v>547.24</v>
      </c>
      <c r="Y15" s="6">
        <v>5.212476449654595</v>
      </c>
      <c r="Z15" t="str">
        <v>normal</v>
      </c>
      <c r="AA15" s="5">
        <v>1.6112508149389959</v>
      </c>
      <c r="AB15" s="6">
        <v>17.3</v>
      </c>
      <c r="AC15" s="6">
        <v>1.7683737094960645</v>
      </c>
      <c r="AD15">
        <v>654.61</v>
      </c>
    </row>
    <row r="16" spans="1:30" x14ac:dyDescent="0.2">
      <c r="A16" s="1" t="s">
        <v>32</v>
      </c>
      <c r="B16" s="1" t="s">
        <v>67</v>
      </c>
      <c r="C16">
        <v>99.17</v>
      </c>
      <c r="D16">
        <v>26</v>
      </c>
      <c r="E16">
        <v>562</v>
      </c>
      <c r="F16">
        <v>8653.57</v>
      </c>
      <c r="G16" s="1" t="s">
        <v>25</v>
      </c>
      <c r="H16">
        <v>54</v>
      </c>
      <c r="I16">
        <v>29</v>
      </c>
      <c r="J16">
        <v>78</v>
      </c>
      <c r="K16">
        <v>5</v>
      </c>
      <c r="L16" s="1" t="s">
        <v>26</v>
      </c>
      <c r="M16">
        <v>2.04</v>
      </c>
      <c r="N16" s="1" t="s">
        <v>38</v>
      </c>
      <c r="O16" s="1" t="s">
        <v>44</v>
      </c>
      <c r="P16">
        <v>25</v>
      </c>
      <c r="Q16">
        <v>558</v>
      </c>
      <c r="R16">
        <v>14</v>
      </c>
      <c r="S16">
        <v>5.79</v>
      </c>
      <c r="T16" s="1" t="s">
        <v>29</v>
      </c>
      <c r="U16">
        <v>0.1</v>
      </c>
      <c r="V16" s="1" t="s">
        <v>39</v>
      </c>
      <c r="W16" s="1" t="s">
        <v>31</v>
      </c>
      <c r="X16">
        <v>929.24</v>
      </c>
      <c r="Y16" s="6">
        <v>11.76470588235294</v>
      </c>
      <c r="Z16" t="str">
        <v>normal</v>
      </c>
      <c r="AA16" s="5">
        <v>71.264367816091948</v>
      </c>
      <c r="AB16" s="6">
        <v>39.857142857142854</v>
      </c>
      <c r="AC16" s="6">
        <v>96.373056994818654</v>
      </c>
      <c r="AD16">
        <v>937.07</v>
      </c>
    </row>
    <row r="17" spans="1:30" x14ac:dyDescent="0.2">
      <c r="A17" s="1" t="s">
        <v>32</v>
      </c>
      <c r="B17" s="1" t="s">
        <v>68</v>
      </c>
      <c r="C17">
        <v>36.99</v>
      </c>
      <c r="D17">
        <v>94</v>
      </c>
      <c r="E17">
        <v>469</v>
      </c>
      <c r="F17">
        <v>5442.09</v>
      </c>
      <c r="G17" s="1" t="s">
        <v>25</v>
      </c>
      <c r="H17">
        <v>9</v>
      </c>
      <c r="I17">
        <v>8</v>
      </c>
      <c r="J17">
        <v>69</v>
      </c>
      <c r="K17">
        <v>7</v>
      </c>
      <c r="L17" s="1" t="s">
        <v>26</v>
      </c>
      <c r="M17">
        <v>2.42</v>
      </c>
      <c r="N17" s="1" t="s">
        <v>38</v>
      </c>
      <c r="O17" s="1" t="s">
        <v>52</v>
      </c>
      <c r="P17">
        <v>14</v>
      </c>
      <c r="Q17">
        <v>580</v>
      </c>
      <c r="R17">
        <v>7</v>
      </c>
      <c r="S17">
        <v>97.12</v>
      </c>
      <c r="T17" s="1" t="s">
        <v>63</v>
      </c>
      <c r="U17">
        <v>2.2599999999999998</v>
      </c>
      <c r="V17" s="1" t="s">
        <v>55</v>
      </c>
      <c r="W17" s="1" t="s">
        <v>31</v>
      </c>
      <c r="X17">
        <v>127.86</v>
      </c>
      <c r="Y17" s="6">
        <v>9.817877328867489</v>
      </c>
      <c r="Z17" t="str">
        <v>normal</v>
      </c>
      <c r="AA17" s="5">
        <v>5.8268032951577249</v>
      </c>
      <c r="AB17" s="6">
        <v>82.857142857142861</v>
      </c>
      <c r="AC17" s="6">
        <v>5.9719934102141679</v>
      </c>
      <c r="AD17">
        <v>227.4</v>
      </c>
    </row>
    <row r="18" spans="1:30" x14ac:dyDescent="0.2">
      <c r="A18" s="1" t="s">
        <v>32</v>
      </c>
      <c r="B18" s="1" t="s">
        <v>69</v>
      </c>
      <c r="C18">
        <v>7.55</v>
      </c>
      <c r="D18">
        <v>74</v>
      </c>
      <c r="E18">
        <v>280</v>
      </c>
      <c r="F18">
        <v>6453.8</v>
      </c>
      <c r="G18" s="1" t="s">
        <v>34</v>
      </c>
      <c r="H18">
        <v>2</v>
      </c>
      <c r="I18">
        <v>5</v>
      </c>
      <c r="J18">
        <v>78</v>
      </c>
      <c r="K18">
        <v>1</v>
      </c>
      <c r="L18" s="1" t="s">
        <v>26</v>
      </c>
      <c r="M18">
        <v>4.1900000000000004</v>
      </c>
      <c r="N18" s="1" t="s">
        <v>38</v>
      </c>
      <c r="O18" s="1" t="s">
        <v>52</v>
      </c>
      <c r="P18">
        <v>3</v>
      </c>
      <c r="Q18">
        <v>399</v>
      </c>
      <c r="R18">
        <v>21</v>
      </c>
      <c r="S18">
        <v>77.11</v>
      </c>
      <c r="T18" s="1" t="s">
        <v>63</v>
      </c>
      <c r="U18">
        <v>1.01</v>
      </c>
      <c r="V18" s="1" t="s">
        <v>39</v>
      </c>
      <c r="W18" s="1" t="s">
        <v>47</v>
      </c>
      <c r="X18">
        <v>865.53</v>
      </c>
      <c r="Y18" s="6">
        <v>5.8614193008164115</v>
      </c>
      <c r="Z18" t="str">
        <v>normal</v>
      </c>
      <c r="AA18" s="5">
        <v>4.9077490774907755</v>
      </c>
      <c r="AB18" s="6">
        <v>19</v>
      </c>
      <c r="AC18" s="6">
        <v>5.1744261444689403</v>
      </c>
      <c r="AD18">
        <v>946.82999999999993</v>
      </c>
    </row>
    <row r="19" spans="1:30" x14ac:dyDescent="0.2">
      <c r="A19" s="1" t="s">
        <v>56</v>
      </c>
      <c r="B19" s="1" t="s">
        <v>70</v>
      </c>
      <c r="C19">
        <v>81.459999999999994</v>
      </c>
      <c r="D19">
        <v>82</v>
      </c>
      <c r="E19">
        <v>126</v>
      </c>
      <c r="F19">
        <v>2629.4</v>
      </c>
      <c r="G19" s="1" t="s">
        <v>34</v>
      </c>
      <c r="H19">
        <v>45</v>
      </c>
      <c r="I19">
        <v>17</v>
      </c>
      <c r="J19">
        <v>85</v>
      </c>
      <c r="K19">
        <v>9</v>
      </c>
      <c r="L19" s="1" t="s">
        <v>42</v>
      </c>
      <c r="M19">
        <v>3.59</v>
      </c>
      <c r="N19" s="1" t="s">
        <v>38</v>
      </c>
      <c r="O19" s="1" t="s">
        <v>61</v>
      </c>
      <c r="P19">
        <v>7</v>
      </c>
      <c r="Q19">
        <v>453</v>
      </c>
      <c r="R19">
        <v>16</v>
      </c>
      <c r="S19">
        <v>47.68</v>
      </c>
      <c r="T19" s="1" t="s">
        <v>45</v>
      </c>
      <c r="U19">
        <v>0.1</v>
      </c>
      <c r="V19" s="1" t="s">
        <v>39</v>
      </c>
      <c r="W19" s="1" t="s">
        <v>40</v>
      </c>
      <c r="X19">
        <v>670.93</v>
      </c>
      <c r="Y19" s="6">
        <v>2.637638685367385</v>
      </c>
      <c r="Z19" t="str">
        <v>normal</v>
      </c>
      <c r="AA19" s="5">
        <v>8.8355763604447048</v>
      </c>
      <c r="AB19" s="6">
        <v>28.3125</v>
      </c>
      <c r="AC19" s="6">
        <v>9.500838926174497</v>
      </c>
      <c r="AD19">
        <v>722.19999999999993</v>
      </c>
    </row>
    <row r="20" spans="1:30" x14ac:dyDescent="0.2">
      <c r="A20" s="1" t="s">
        <v>23</v>
      </c>
      <c r="B20" s="1" t="s">
        <v>71</v>
      </c>
      <c r="C20">
        <v>36.44</v>
      </c>
      <c r="D20">
        <v>23</v>
      </c>
      <c r="E20">
        <v>620</v>
      </c>
      <c r="F20">
        <v>9364.67</v>
      </c>
      <c r="G20" s="1" t="s">
        <v>37</v>
      </c>
      <c r="H20">
        <v>10</v>
      </c>
      <c r="I20">
        <v>10</v>
      </c>
      <c r="J20">
        <v>46</v>
      </c>
      <c r="K20">
        <v>8</v>
      </c>
      <c r="L20" s="1" t="s">
        <v>42</v>
      </c>
      <c r="M20">
        <v>4.34</v>
      </c>
      <c r="N20" s="1" t="s">
        <v>60</v>
      </c>
      <c r="O20" s="1" t="s">
        <v>44</v>
      </c>
      <c r="P20">
        <v>18</v>
      </c>
      <c r="Q20">
        <v>374</v>
      </c>
      <c r="R20">
        <v>17</v>
      </c>
      <c r="S20">
        <v>27.11</v>
      </c>
      <c r="T20" s="1" t="s">
        <v>29</v>
      </c>
      <c r="U20">
        <v>2.23</v>
      </c>
      <c r="V20" s="1" t="s">
        <v>55</v>
      </c>
      <c r="W20" s="1" t="s">
        <v>47</v>
      </c>
      <c r="X20">
        <v>593.48</v>
      </c>
      <c r="Y20" s="6">
        <v>12.97885702323634</v>
      </c>
      <c r="Z20" t="str">
        <v>normal</v>
      </c>
      <c r="AA20" s="5">
        <v>11.891891891891893</v>
      </c>
      <c r="AB20" s="6">
        <v>22</v>
      </c>
      <c r="AC20" s="6">
        <v>13.795647362596828</v>
      </c>
      <c r="AD20">
        <v>624.93000000000006</v>
      </c>
    </row>
    <row r="21" spans="1:30" x14ac:dyDescent="0.2">
      <c r="A21" s="1" t="s">
        <v>32</v>
      </c>
      <c r="B21" s="1" t="s">
        <v>72</v>
      </c>
      <c r="C21">
        <v>51.12</v>
      </c>
      <c r="D21">
        <v>100</v>
      </c>
      <c r="E21">
        <v>187</v>
      </c>
      <c r="F21">
        <v>2553.5</v>
      </c>
      <c r="G21" s="1" t="s">
        <v>37</v>
      </c>
      <c r="H21">
        <v>48</v>
      </c>
      <c r="I21">
        <v>11</v>
      </c>
      <c r="J21">
        <v>94</v>
      </c>
      <c r="K21">
        <v>3</v>
      </c>
      <c r="L21" s="1" t="s">
        <v>35</v>
      </c>
      <c r="M21">
        <v>4.74</v>
      </c>
      <c r="N21" s="1" t="s">
        <v>51</v>
      </c>
      <c r="O21" s="1" t="s">
        <v>61</v>
      </c>
      <c r="P21">
        <v>20</v>
      </c>
      <c r="Q21">
        <v>694</v>
      </c>
      <c r="R21">
        <v>16</v>
      </c>
      <c r="S21">
        <v>82.37</v>
      </c>
      <c r="T21" s="1" t="s">
        <v>45</v>
      </c>
      <c r="U21">
        <v>3.65</v>
      </c>
      <c r="V21" s="1" t="s">
        <v>30</v>
      </c>
      <c r="W21" s="1" t="s">
        <v>40</v>
      </c>
      <c r="X21">
        <v>477.31</v>
      </c>
      <c r="Y21" s="6">
        <v>3.9145907473309607</v>
      </c>
      <c r="Z21" t="str">
        <v>normal</v>
      </c>
      <c r="AA21" s="5">
        <v>7.9669383538055332</v>
      </c>
      <c r="AB21" s="6">
        <v>43.375</v>
      </c>
      <c r="AC21" s="6">
        <v>8.4253975962122123</v>
      </c>
      <c r="AD21">
        <v>564.41999999999996</v>
      </c>
    </row>
    <row r="22" spans="1:30" x14ac:dyDescent="0.2">
      <c r="A22" s="1" t="s">
        <v>32</v>
      </c>
      <c r="B22" s="1" t="s">
        <v>73</v>
      </c>
      <c r="C22">
        <v>96.34</v>
      </c>
      <c r="D22">
        <v>22</v>
      </c>
      <c r="E22">
        <v>320</v>
      </c>
      <c r="F22">
        <v>8128.03</v>
      </c>
      <c r="G22" s="1" t="s">
        <v>37</v>
      </c>
      <c r="H22">
        <v>27</v>
      </c>
      <c r="I22">
        <v>12</v>
      </c>
      <c r="J22">
        <v>68</v>
      </c>
      <c r="K22">
        <v>6</v>
      </c>
      <c r="L22" s="1" t="s">
        <v>35</v>
      </c>
      <c r="M22">
        <v>8.8800000000000008</v>
      </c>
      <c r="N22" s="1" t="s">
        <v>38</v>
      </c>
      <c r="O22" s="1" t="s">
        <v>61</v>
      </c>
      <c r="P22">
        <v>29</v>
      </c>
      <c r="Q22">
        <v>309</v>
      </c>
      <c r="R22">
        <v>6</v>
      </c>
      <c r="S22">
        <v>65.69</v>
      </c>
      <c r="T22" s="1" t="s">
        <v>63</v>
      </c>
      <c r="U22">
        <v>4.2300000000000004</v>
      </c>
      <c r="V22" s="1" t="s">
        <v>39</v>
      </c>
      <c r="W22" s="1" t="s">
        <v>31</v>
      </c>
      <c r="X22">
        <v>493.87</v>
      </c>
      <c r="Y22" s="6">
        <v>6.6987649152187565</v>
      </c>
      <c r="Z22" t="str">
        <v>normal</v>
      </c>
      <c r="AA22" s="5">
        <v>4.143757543247955</v>
      </c>
      <c r="AB22" s="6">
        <v>51.5</v>
      </c>
      <c r="AC22" s="6">
        <v>4.7039123154209168</v>
      </c>
      <c r="AD22">
        <v>568.44000000000005</v>
      </c>
    </row>
    <row r="23" spans="1:30" x14ac:dyDescent="0.2">
      <c r="A23" s="1" t="s">
        <v>56</v>
      </c>
      <c r="B23" s="1" t="s">
        <v>74</v>
      </c>
      <c r="C23">
        <v>84.89</v>
      </c>
      <c r="D23">
        <v>60</v>
      </c>
      <c r="E23">
        <v>601</v>
      </c>
      <c r="F23">
        <v>7087.05</v>
      </c>
      <c r="G23" s="1" t="s">
        <v>37</v>
      </c>
      <c r="H23">
        <v>69</v>
      </c>
      <c r="I23">
        <v>25</v>
      </c>
      <c r="J23">
        <v>7</v>
      </c>
      <c r="K23">
        <v>6</v>
      </c>
      <c r="L23" s="1" t="s">
        <v>26</v>
      </c>
      <c r="M23">
        <v>6.04</v>
      </c>
      <c r="N23" s="1" t="s">
        <v>43</v>
      </c>
      <c r="O23" s="1" t="s">
        <v>61</v>
      </c>
      <c r="P23">
        <v>19</v>
      </c>
      <c r="Q23">
        <v>791</v>
      </c>
      <c r="R23">
        <v>4</v>
      </c>
      <c r="S23">
        <v>61.74</v>
      </c>
      <c r="T23" s="1" t="s">
        <v>29</v>
      </c>
      <c r="U23">
        <v>0.02</v>
      </c>
      <c r="V23" s="1" t="s">
        <v>39</v>
      </c>
      <c r="W23" s="1" t="s">
        <v>40</v>
      </c>
      <c r="X23">
        <v>523.36</v>
      </c>
      <c r="Y23" s="6">
        <v>12.581117856395226</v>
      </c>
      <c r="Z23" t="str">
        <v>normal</v>
      </c>
      <c r="AA23" s="5">
        <v>11.670109176748303</v>
      </c>
      <c r="AB23" s="6">
        <v>197.75</v>
      </c>
      <c r="AC23" s="6">
        <v>12.811791383219955</v>
      </c>
      <c r="AD23">
        <v>591.14</v>
      </c>
    </row>
    <row r="24" spans="1:30" x14ac:dyDescent="0.2">
      <c r="A24" s="1" t="s">
        <v>23</v>
      </c>
      <c r="B24" s="1" t="s">
        <v>75</v>
      </c>
      <c r="C24">
        <v>27.68</v>
      </c>
      <c r="D24">
        <v>55</v>
      </c>
      <c r="E24">
        <v>884</v>
      </c>
      <c r="F24">
        <v>2390.81</v>
      </c>
      <c r="G24" s="1" t="s">
        <v>37</v>
      </c>
      <c r="H24">
        <v>71</v>
      </c>
      <c r="I24">
        <v>1</v>
      </c>
      <c r="J24">
        <v>63</v>
      </c>
      <c r="K24">
        <v>10</v>
      </c>
      <c r="L24" s="1" t="s">
        <v>35</v>
      </c>
      <c r="M24">
        <v>9.57</v>
      </c>
      <c r="N24" s="1" t="s">
        <v>51</v>
      </c>
      <c r="O24" s="1" t="s">
        <v>44</v>
      </c>
      <c r="P24">
        <v>22</v>
      </c>
      <c r="Q24">
        <v>780</v>
      </c>
      <c r="R24">
        <v>28</v>
      </c>
      <c r="S24">
        <v>50.12</v>
      </c>
      <c r="T24" s="1" t="s">
        <v>45</v>
      </c>
      <c r="U24">
        <v>2.59</v>
      </c>
      <c r="V24" s="1" t="s">
        <v>46</v>
      </c>
      <c r="W24" s="1" t="s">
        <v>40</v>
      </c>
      <c r="X24">
        <v>205.57</v>
      </c>
      <c r="Y24" s="6">
        <v>18.505338078291814</v>
      </c>
      <c r="Z24" t="str">
        <v>normal</v>
      </c>
      <c r="AA24" s="5">
        <v>13.067515496733122</v>
      </c>
      <c r="AB24" s="6">
        <v>27.857142857142858</v>
      </c>
      <c r="AC24" s="6">
        <v>15.562649640861933</v>
      </c>
      <c r="AD24">
        <v>265.26</v>
      </c>
    </row>
    <row r="25" spans="1:30" x14ac:dyDescent="0.2">
      <c r="A25" s="1" t="s">
        <v>56</v>
      </c>
      <c r="B25" s="1" t="s">
        <v>76</v>
      </c>
      <c r="C25">
        <v>4.32</v>
      </c>
      <c r="D25">
        <v>30</v>
      </c>
      <c r="E25">
        <v>391</v>
      </c>
      <c r="F25">
        <v>8858.3700000000008</v>
      </c>
      <c r="G25" s="1" t="s">
        <v>37</v>
      </c>
      <c r="H25">
        <v>84</v>
      </c>
      <c r="I25">
        <v>5</v>
      </c>
      <c r="J25">
        <v>29</v>
      </c>
      <c r="K25">
        <v>7</v>
      </c>
      <c r="L25" s="1" t="s">
        <v>35</v>
      </c>
      <c r="M25">
        <v>2.92</v>
      </c>
      <c r="N25" s="1" t="s">
        <v>43</v>
      </c>
      <c r="O25" s="1" t="s">
        <v>44</v>
      </c>
      <c r="P25">
        <v>11</v>
      </c>
      <c r="Q25">
        <v>568</v>
      </c>
      <c r="R25">
        <v>29</v>
      </c>
      <c r="S25">
        <v>98.61</v>
      </c>
      <c r="T25" s="1" t="s">
        <v>29</v>
      </c>
      <c r="U25">
        <v>1.34</v>
      </c>
      <c r="V25" s="1" t="s">
        <v>46</v>
      </c>
      <c r="W25" s="1" t="s">
        <v>47</v>
      </c>
      <c r="X25">
        <v>196.33</v>
      </c>
      <c r="Y25" s="6">
        <v>8.185053380782918</v>
      </c>
      <c r="Z25" t="str">
        <v>normal</v>
      </c>
      <c r="AA25" s="5">
        <v>5.5944055944055942</v>
      </c>
      <c r="AB25" s="6">
        <v>19.586206896551722</v>
      </c>
      <c r="AC25" s="6">
        <v>5.7600649021397423</v>
      </c>
      <c r="AD25">
        <v>297.86</v>
      </c>
    </row>
    <row r="26" spans="1:30" x14ac:dyDescent="0.2">
      <c r="A26" s="1" t="s">
        <v>23</v>
      </c>
      <c r="B26" s="1" t="s">
        <v>77</v>
      </c>
      <c r="C26">
        <v>4.16</v>
      </c>
      <c r="D26">
        <v>32</v>
      </c>
      <c r="E26">
        <v>209</v>
      </c>
      <c r="F26">
        <v>9049.08</v>
      </c>
      <c r="G26" s="1" t="s">
        <v>54</v>
      </c>
      <c r="H26">
        <v>4</v>
      </c>
      <c r="I26">
        <v>26</v>
      </c>
      <c r="J26">
        <v>2</v>
      </c>
      <c r="K26">
        <v>8</v>
      </c>
      <c r="L26" s="1" t="s">
        <v>42</v>
      </c>
      <c r="M26">
        <v>9.74</v>
      </c>
      <c r="N26" s="1" t="s">
        <v>60</v>
      </c>
      <c r="O26" s="1" t="s">
        <v>52</v>
      </c>
      <c r="P26">
        <v>28</v>
      </c>
      <c r="Q26">
        <v>447</v>
      </c>
      <c r="R26">
        <v>3</v>
      </c>
      <c r="S26">
        <v>40.380000000000003</v>
      </c>
      <c r="T26" s="1" t="s">
        <v>29</v>
      </c>
      <c r="U26">
        <v>3.69</v>
      </c>
      <c r="V26" s="1" t="s">
        <v>39</v>
      </c>
      <c r="W26" s="1" t="s">
        <v>47</v>
      </c>
      <c r="X26">
        <v>758.72</v>
      </c>
      <c r="Y26" s="6">
        <v>4.37513083525225</v>
      </c>
      <c r="Z26" t="str">
        <v>normal</v>
      </c>
      <c r="AA26" s="5">
        <v>8.9185953711093369</v>
      </c>
      <c r="AB26" s="6">
        <v>149</v>
      </c>
      <c r="AC26" s="6">
        <v>11.069836552748885</v>
      </c>
      <c r="AD26">
        <v>808.84</v>
      </c>
    </row>
    <row r="27" spans="1:30" x14ac:dyDescent="0.2">
      <c r="A27" s="1" t="s">
        <v>23</v>
      </c>
      <c r="B27" s="1" t="s">
        <v>78</v>
      </c>
      <c r="C27">
        <v>39.630000000000003</v>
      </c>
      <c r="D27">
        <v>73</v>
      </c>
      <c r="E27">
        <v>142</v>
      </c>
      <c r="F27">
        <v>2174.7800000000002</v>
      </c>
      <c r="G27" s="1" t="s">
        <v>54</v>
      </c>
      <c r="H27">
        <v>82</v>
      </c>
      <c r="I27">
        <v>11</v>
      </c>
      <c r="J27">
        <v>52</v>
      </c>
      <c r="K27">
        <v>3</v>
      </c>
      <c r="L27" s="1" t="s">
        <v>42</v>
      </c>
      <c r="M27">
        <v>2.23</v>
      </c>
      <c r="N27" s="1" t="s">
        <v>51</v>
      </c>
      <c r="O27" s="1" t="s">
        <v>44</v>
      </c>
      <c r="P27">
        <v>19</v>
      </c>
      <c r="Q27">
        <v>934</v>
      </c>
      <c r="R27">
        <v>23</v>
      </c>
      <c r="S27">
        <v>78.28</v>
      </c>
      <c r="T27" s="1" t="s">
        <v>29</v>
      </c>
      <c r="U27">
        <v>3.8</v>
      </c>
      <c r="V27" s="1" t="s">
        <v>30</v>
      </c>
      <c r="W27" s="1" t="s">
        <v>31</v>
      </c>
      <c r="X27">
        <v>458.54</v>
      </c>
      <c r="Y27" s="6">
        <v>2.972576931128323</v>
      </c>
      <c r="Z27" t="str">
        <v>normal</v>
      </c>
      <c r="AA27" s="5">
        <v>11.601043348652341</v>
      </c>
      <c r="AB27" s="6">
        <v>40.608695652173914</v>
      </c>
      <c r="AC27" s="6">
        <v>11.931527848748084</v>
      </c>
      <c r="AD27">
        <v>539.05000000000007</v>
      </c>
    </row>
    <row r="28" spans="1:30" x14ac:dyDescent="0.2">
      <c r="A28" s="1" t="s">
        <v>23</v>
      </c>
      <c r="B28" s="1" t="s">
        <v>79</v>
      </c>
      <c r="C28">
        <v>97.45</v>
      </c>
      <c r="D28">
        <v>9</v>
      </c>
      <c r="E28">
        <v>353</v>
      </c>
      <c r="F28">
        <v>3716.49</v>
      </c>
      <c r="G28" s="1" t="s">
        <v>54</v>
      </c>
      <c r="H28">
        <v>59</v>
      </c>
      <c r="I28">
        <v>16</v>
      </c>
      <c r="J28">
        <v>48</v>
      </c>
      <c r="K28">
        <v>4</v>
      </c>
      <c r="L28" s="1" t="s">
        <v>26</v>
      </c>
      <c r="M28">
        <v>6.51</v>
      </c>
      <c r="N28" s="1" t="s">
        <v>60</v>
      </c>
      <c r="O28" s="1" t="s">
        <v>52</v>
      </c>
      <c r="P28">
        <v>26</v>
      </c>
      <c r="Q28">
        <v>171</v>
      </c>
      <c r="R28">
        <v>4</v>
      </c>
      <c r="S28">
        <v>15.97</v>
      </c>
      <c r="T28" s="1" t="s">
        <v>63</v>
      </c>
      <c r="U28">
        <v>2.12</v>
      </c>
      <c r="V28" s="1" t="s">
        <v>46</v>
      </c>
      <c r="W28" s="1" t="s">
        <v>47</v>
      </c>
      <c r="X28">
        <v>617.87</v>
      </c>
      <c r="Y28" s="6">
        <v>7.3895750471006902</v>
      </c>
      <c r="Z28" t="str">
        <v>normal</v>
      </c>
      <c r="AA28" s="5">
        <v>7.6067615658362984</v>
      </c>
      <c r="AB28" s="6">
        <v>42.75</v>
      </c>
      <c r="AC28" s="6">
        <v>10.707576706324359</v>
      </c>
      <c r="AD28">
        <v>640.35</v>
      </c>
    </row>
    <row r="29" spans="1:30" x14ac:dyDescent="0.2">
      <c r="A29" s="1" t="s">
        <v>56</v>
      </c>
      <c r="B29" s="1" t="s">
        <v>80</v>
      </c>
      <c r="C29">
        <v>92.56</v>
      </c>
      <c r="D29">
        <v>42</v>
      </c>
      <c r="E29">
        <v>352</v>
      </c>
      <c r="F29">
        <v>2686.46</v>
      </c>
      <c r="G29" s="1" t="s">
        <v>37</v>
      </c>
      <c r="H29">
        <v>47</v>
      </c>
      <c r="I29">
        <v>9</v>
      </c>
      <c r="J29">
        <v>62</v>
      </c>
      <c r="K29">
        <v>8</v>
      </c>
      <c r="L29" s="1" t="s">
        <v>42</v>
      </c>
      <c r="M29">
        <v>7.41</v>
      </c>
      <c r="N29" s="1" t="s">
        <v>43</v>
      </c>
      <c r="O29" s="1" t="s">
        <v>28</v>
      </c>
      <c r="P29">
        <v>25</v>
      </c>
      <c r="Q29">
        <v>291</v>
      </c>
      <c r="R29">
        <v>4</v>
      </c>
      <c r="S29">
        <v>10.53</v>
      </c>
      <c r="T29" s="1" t="s">
        <v>45</v>
      </c>
      <c r="U29">
        <v>2.86</v>
      </c>
      <c r="V29" s="1" t="s">
        <v>55</v>
      </c>
      <c r="W29" s="1" t="s">
        <v>31</v>
      </c>
      <c r="X29">
        <v>762.46</v>
      </c>
      <c r="Y29" s="6">
        <v>7.3686414067406316</v>
      </c>
      <c r="Z29" t="str">
        <v>normal</v>
      </c>
      <c r="AA29" s="5">
        <v>16.220735785953178</v>
      </c>
      <c r="AB29" s="6">
        <v>72.75</v>
      </c>
      <c r="AC29" s="6">
        <v>27.635327635327638</v>
      </c>
      <c r="AD29">
        <v>780.40000000000009</v>
      </c>
    </row>
    <row r="30" spans="1:30" x14ac:dyDescent="0.2">
      <c r="A30" s="1" t="s">
        <v>56</v>
      </c>
      <c r="B30" s="1" t="s">
        <v>81</v>
      </c>
      <c r="C30">
        <v>2.4</v>
      </c>
      <c r="D30">
        <v>12</v>
      </c>
      <c r="E30">
        <v>394</v>
      </c>
      <c r="F30">
        <v>6117.32</v>
      </c>
      <c r="G30" s="1" t="s">
        <v>34</v>
      </c>
      <c r="H30">
        <v>48</v>
      </c>
      <c r="I30">
        <v>15</v>
      </c>
      <c r="J30">
        <v>24</v>
      </c>
      <c r="K30">
        <v>4</v>
      </c>
      <c r="L30" s="1" t="s">
        <v>26</v>
      </c>
      <c r="M30">
        <v>9.9</v>
      </c>
      <c r="N30" s="1" t="s">
        <v>38</v>
      </c>
      <c r="O30" s="1" t="s">
        <v>28</v>
      </c>
      <c r="P30">
        <v>13</v>
      </c>
      <c r="Q30">
        <v>171</v>
      </c>
      <c r="R30">
        <v>7</v>
      </c>
      <c r="S30">
        <v>59.43</v>
      </c>
      <c r="T30" s="1" t="s">
        <v>45</v>
      </c>
      <c r="U30">
        <v>0.82</v>
      </c>
      <c r="V30" s="1" t="s">
        <v>39</v>
      </c>
      <c r="W30" s="1" t="s">
        <v>47</v>
      </c>
      <c r="X30">
        <v>123.44</v>
      </c>
      <c r="Y30" s="6">
        <v>8.247854301863093</v>
      </c>
      <c r="Z30" t="str">
        <v>normal</v>
      </c>
      <c r="AA30" s="5">
        <v>2.4664647338814367</v>
      </c>
      <c r="AB30" s="6">
        <v>24.428571428571427</v>
      </c>
      <c r="AC30" s="6">
        <v>2.8773346794548207</v>
      </c>
      <c r="AD30">
        <v>192.76999999999998</v>
      </c>
    </row>
    <row r="31" spans="1:30" x14ac:dyDescent="0.2">
      <c r="A31" s="1" t="s">
        <v>56</v>
      </c>
      <c r="B31" s="1" t="s">
        <v>82</v>
      </c>
      <c r="C31">
        <v>63.45</v>
      </c>
      <c r="D31">
        <v>3</v>
      </c>
      <c r="E31">
        <v>253</v>
      </c>
      <c r="F31">
        <v>8318.9</v>
      </c>
      <c r="G31" s="1" t="s">
        <v>34</v>
      </c>
      <c r="H31">
        <v>45</v>
      </c>
      <c r="I31">
        <v>5</v>
      </c>
      <c r="J31">
        <v>67</v>
      </c>
      <c r="K31">
        <v>7</v>
      </c>
      <c r="L31" s="1" t="s">
        <v>26</v>
      </c>
      <c r="M31">
        <v>8.1</v>
      </c>
      <c r="N31" s="1" t="s">
        <v>38</v>
      </c>
      <c r="O31" s="1" t="s">
        <v>44</v>
      </c>
      <c r="P31">
        <v>16</v>
      </c>
      <c r="Q31">
        <v>329</v>
      </c>
      <c r="R31">
        <v>7</v>
      </c>
      <c r="S31">
        <v>39.29</v>
      </c>
      <c r="T31" s="1" t="s">
        <v>63</v>
      </c>
      <c r="U31">
        <v>3.88</v>
      </c>
      <c r="V31" s="1" t="s">
        <v>30</v>
      </c>
      <c r="W31" s="1" t="s">
        <v>31</v>
      </c>
      <c r="X31">
        <v>764.94</v>
      </c>
      <c r="Y31" s="6">
        <v>5.2962110110948286</v>
      </c>
      <c r="Z31" t="str">
        <v>normal</v>
      </c>
      <c r="AA31" s="5">
        <v>6.9423929098966024</v>
      </c>
      <c r="AB31" s="6">
        <v>47</v>
      </c>
      <c r="AC31" s="6">
        <v>8.3736319674217352</v>
      </c>
      <c r="AD31">
        <v>812.33</v>
      </c>
    </row>
    <row r="32" spans="1:30" x14ac:dyDescent="0.2">
      <c r="A32" s="1" t="s">
        <v>23</v>
      </c>
      <c r="B32" s="1" t="s">
        <v>83</v>
      </c>
      <c r="C32">
        <v>8.02</v>
      </c>
      <c r="D32">
        <v>10</v>
      </c>
      <c r="E32">
        <v>327</v>
      </c>
      <c r="F32">
        <v>2766.34</v>
      </c>
      <c r="G32" s="1" t="s">
        <v>54</v>
      </c>
      <c r="H32">
        <v>60</v>
      </c>
      <c r="I32">
        <v>26</v>
      </c>
      <c r="J32">
        <v>35</v>
      </c>
      <c r="K32">
        <v>7</v>
      </c>
      <c r="L32" s="1" t="s">
        <v>26</v>
      </c>
      <c r="M32">
        <v>8.9499999999999993</v>
      </c>
      <c r="N32" s="1" t="s">
        <v>51</v>
      </c>
      <c r="O32" s="1" t="s">
        <v>44</v>
      </c>
      <c r="P32">
        <v>27</v>
      </c>
      <c r="Q32">
        <v>806</v>
      </c>
      <c r="R32">
        <v>30</v>
      </c>
      <c r="S32">
        <v>51.63</v>
      </c>
      <c r="T32" s="1" t="s">
        <v>29</v>
      </c>
      <c r="U32">
        <v>0.97</v>
      </c>
      <c r="V32" s="1" t="s">
        <v>30</v>
      </c>
      <c r="W32" s="1" t="s">
        <v>40</v>
      </c>
      <c r="X32">
        <v>880.08</v>
      </c>
      <c r="Y32" s="6">
        <v>6.845300397739166</v>
      </c>
      <c r="Z32" t="str">
        <v>normal</v>
      </c>
      <c r="AA32" s="5">
        <v>13.304721030042918</v>
      </c>
      <c r="AB32" s="6">
        <v>26.866666666666667</v>
      </c>
      <c r="AC32" s="6">
        <v>15.611078830137517</v>
      </c>
      <c r="AD32">
        <v>940.66000000000008</v>
      </c>
    </row>
    <row r="33" spans="1:30" x14ac:dyDescent="0.2">
      <c r="A33" s="1" t="s">
        <v>32</v>
      </c>
      <c r="B33" s="1" t="s">
        <v>84</v>
      </c>
      <c r="C33">
        <v>50.85</v>
      </c>
      <c r="D33">
        <v>28</v>
      </c>
      <c r="E33">
        <v>168</v>
      </c>
      <c r="F33">
        <v>9655.14</v>
      </c>
      <c r="G33" s="1" t="s">
        <v>54</v>
      </c>
      <c r="H33">
        <v>6</v>
      </c>
      <c r="I33">
        <v>17</v>
      </c>
      <c r="J33">
        <v>44</v>
      </c>
      <c r="K33">
        <v>4</v>
      </c>
      <c r="L33" s="1" t="s">
        <v>26</v>
      </c>
      <c r="M33">
        <v>2.68</v>
      </c>
      <c r="N33" s="1" t="s">
        <v>27</v>
      </c>
      <c r="O33" s="1" t="s">
        <v>61</v>
      </c>
      <c r="P33">
        <v>24</v>
      </c>
      <c r="Q33">
        <v>461</v>
      </c>
      <c r="R33">
        <v>8</v>
      </c>
      <c r="S33">
        <v>60.25</v>
      </c>
      <c r="T33" s="1" t="s">
        <v>29</v>
      </c>
      <c r="U33">
        <v>2.99</v>
      </c>
      <c r="V33" s="1" t="s">
        <v>46</v>
      </c>
      <c r="W33" s="1" t="s">
        <v>40</v>
      </c>
      <c r="X33">
        <v>609.38</v>
      </c>
      <c r="Y33" s="6">
        <v>3.5168515804898468</v>
      </c>
      <c r="Z33" t="str">
        <v>normal</v>
      </c>
      <c r="AA33" s="5">
        <v>7.3255998728746228</v>
      </c>
      <c r="AB33" s="6">
        <v>57.625</v>
      </c>
      <c r="AC33" s="6">
        <v>7.6514522821576767</v>
      </c>
      <c r="AD33">
        <v>672.31</v>
      </c>
    </row>
    <row r="34" spans="1:30" x14ac:dyDescent="0.2">
      <c r="A34" s="1" t="s">
        <v>32</v>
      </c>
      <c r="B34" s="1" t="s">
        <v>85</v>
      </c>
      <c r="C34">
        <v>79.209999999999994</v>
      </c>
      <c r="D34">
        <v>43</v>
      </c>
      <c r="E34">
        <v>781</v>
      </c>
      <c r="F34">
        <v>9571.5499999999993</v>
      </c>
      <c r="G34" s="1" t="s">
        <v>37</v>
      </c>
      <c r="H34">
        <v>89</v>
      </c>
      <c r="I34">
        <v>13</v>
      </c>
      <c r="J34">
        <v>64</v>
      </c>
      <c r="K34">
        <v>4</v>
      </c>
      <c r="L34" s="1" t="s">
        <v>42</v>
      </c>
      <c r="M34">
        <v>6.6</v>
      </c>
      <c r="N34" s="1" t="s">
        <v>27</v>
      </c>
      <c r="O34" s="1" t="s">
        <v>44</v>
      </c>
      <c r="P34">
        <v>30</v>
      </c>
      <c r="Q34">
        <v>737</v>
      </c>
      <c r="R34">
        <v>7</v>
      </c>
      <c r="S34">
        <v>29.69</v>
      </c>
      <c r="T34" s="1" t="s">
        <v>63</v>
      </c>
      <c r="U34">
        <v>1.95</v>
      </c>
      <c r="V34" s="1" t="s">
        <v>30</v>
      </c>
      <c r="W34" s="1" t="s">
        <v>47</v>
      </c>
      <c r="X34">
        <v>761.17</v>
      </c>
      <c r="Y34" s="6">
        <v>16.349173121205776</v>
      </c>
      <c r="Z34" t="str">
        <v>normal</v>
      </c>
      <c r="AA34" s="5">
        <v>20.30862496555525</v>
      </c>
      <c r="AB34" s="6">
        <v>105.28571428571429</v>
      </c>
      <c r="AC34" s="6">
        <v>24.823172785449646</v>
      </c>
      <c r="AD34">
        <v>797.45999999999992</v>
      </c>
    </row>
    <row r="35" spans="1:30" x14ac:dyDescent="0.2">
      <c r="A35" s="1" t="s">
        <v>56</v>
      </c>
      <c r="B35" s="1" t="s">
        <v>86</v>
      </c>
      <c r="C35">
        <v>64.8</v>
      </c>
      <c r="D35">
        <v>63</v>
      </c>
      <c r="E35">
        <v>616</v>
      </c>
      <c r="F35">
        <v>5150</v>
      </c>
      <c r="G35" s="1" t="s">
        <v>25</v>
      </c>
      <c r="H35">
        <v>4</v>
      </c>
      <c r="I35">
        <v>17</v>
      </c>
      <c r="J35">
        <v>95</v>
      </c>
      <c r="K35">
        <v>9</v>
      </c>
      <c r="L35" s="1" t="s">
        <v>42</v>
      </c>
      <c r="M35">
        <v>4.8600000000000003</v>
      </c>
      <c r="N35" s="1" t="s">
        <v>43</v>
      </c>
      <c r="O35" s="1" t="s">
        <v>61</v>
      </c>
      <c r="P35">
        <v>1</v>
      </c>
      <c r="Q35">
        <v>251</v>
      </c>
      <c r="R35">
        <v>23</v>
      </c>
      <c r="S35">
        <v>23.85</v>
      </c>
      <c r="T35" s="1" t="s">
        <v>45</v>
      </c>
      <c r="U35">
        <v>3.54</v>
      </c>
      <c r="V35" s="1" t="s">
        <v>55</v>
      </c>
      <c r="W35" s="1" t="s">
        <v>47</v>
      </c>
      <c r="X35">
        <v>371.26</v>
      </c>
      <c r="Y35" s="6">
        <v>12.895122461796106</v>
      </c>
      <c r="Z35" t="str">
        <v>normal</v>
      </c>
      <c r="AA35" s="5">
        <v>8.742598397770811</v>
      </c>
      <c r="AB35" s="6">
        <v>10.913043478260869</v>
      </c>
      <c r="AC35" s="6">
        <v>10.524109014675052</v>
      </c>
      <c r="AD35">
        <v>399.96999999999997</v>
      </c>
    </row>
    <row r="36" spans="1:30" x14ac:dyDescent="0.2">
      <c r="A36" s="1" t="s">
        <v>32</v>
      </c>
      <c r="B36" s="1" t="s">
        <v>87</v>
      </c>
      <c r="C36">
        <v>37.47</v>
      </c>
      <c r="D36">
        <v>96</v>
      </c>
      <c r="E36">
        <v>602</v>
      </c>
      <c r="F36">
        <v>9061.7099999999991</v>
      </c>
      <c r="G36" s="1" t="s">
        <v>37</v>
      </c>
      <c r="H36">
        <v>1</v>
      </c>
      <c r="I36">
        <v>26</v>
      </c>
      <c r="J36">
        <v>21</v>
      </c>
      <c r="K36">
        <v>7</v>
      </c>
      <c r="L36" s="1" t="s">
        <v>35</v>
      </c>
      <c r="M36">
        <v>1.02</v>
      </c>
      <c r="N36" s="1" t="s">
        <v>38</v>
      </c>
      <c r="O36" s="1" t="s">
        <v>61</v>
      </c>
      <c r="P36">
        <v>4</v>
      </c>
      <c r="Q36">
        <v>452</v>
      </c>
      <c r="R36">
        <v>10</v>
      </c>
      <c r="S36">
        <v>10.75</v>
      </c>
      <c r="T36" s="1" t="s">
        <v>63</v>
      </c>
      <c r="U36">
        <v>0.65</v>
      </c>
      <c r="V36" s="1" t="s">
        <v>30</v>
      </c>
      <c r="W36" s="1" t="s">
        <v>31</v>
      </c>
      <c r="X36">
        <v>510.36</v>
      </c>
      <c r="Y36" s="6">
        <v>12.602051496755285</v>
      </c>
      <c r="Z36" t="str">
        <v>normal</v>
      </c>
      <c r="AA36" s="5">
        <v>38.40271877655055</v>
      </c>
      <c r="AB36" s="6">
        <v>45.2</v>
      </c>
      <c r="AC36" s="6">
        <v>42.046511627906973</v>
      </c>
      <c r="AD36">
        <v>522.13</v>
      </c>
    </row>
    <row r="37" spans="1:30" x14ac:dyDescent="0.2">
      <c r="A37" s="1" t="s">
        <v>56</v>
      </c>
      <c r="B37" s="1" t="s">
        <v>88</v>
      </c>
      <c r="C37">
        <v>84.96</v>
      </c>
      <c r="D37">
        <v>11</v>
      </c>
      <c r="E37">
        <v>449</v>
      </c>
      <c r="F37">
        <v>6541.33</v>
      </c>
      <c r="G37" s="1" t="s">
        <v>34</v>
      </c>
      <c r="H37">
        <v>42</v>
      </c>
      <c r="I37">
        <v>27</v>
      </c>
      <c r="J37">
        <v>85</v>
      </c>
      <c r="K37">
        <v>8</v>
      </c>
      <c r="L37" s="1" t="s">
        <v>42</v>
      </c>
      <c r="M37">
        <v>5.29</v>
      </c>
      <c r="N37" s="1" t="s">
        <v>38</v>
      </c>
      <c r="O37" s="1" t="s">
        <v>49</v>
      </c>
      <c r="P37">
        <v>3</v>
      </c>
      <c r="Q37">
        <v>367</v>
      </c>
      <c r="R37">
        <v>2</v>
      </c>
      <c r="S37">
        <v>58</v>
      </c>
      <c r="T37" s="1" t="s">
        <v>63</v>
      </c>
      <c r="U37">
        <v>0.54</v>
      </c>
      <c r="V37" s="1" t="s">
        <v>55</v>
      </c>
      <c r="W37" s="1" t="s">
        <v>40</v>
      </c>
      <c r="X37">
        <v>553.41999999999996</v>
      </c>
      <c r="Y37" s="6">
        <v>9.3992045216663165</v>
      </c>
      <c r="Z37" t="str">
        <v>normal</v>
      </c>
      <c r="AA37" s="5">
        <v>5.7987043766787805</v>
      </c>
      <c r="AB37" s="6">
        <v>183.5</v>
      </c>
      <c r="AC37" s="6">
        <v>6.3275862068965516</v>
      </c>
      <c r="AD37">
        <v>616.70999999999992</v>
      </c>
    </row>
    <row r="38" spans="1:30" x14ac:dyDescent="0.2">
      <c r="A38" s="1" t="s">
        <v>32</v>
      </c>
      <c r="B38" s="1" t="s">
        <v>89</v>
      </c>
      <c r="C38">
        <v>9.81</v>
      </c>
      <c r="D38">
        <v>34</v>
      </c>
      <c r="E38">
        <v>963</v>
      </c>
      <c r="F38">
        <v>7573.4</v>
      </c>
      <c r="G38" s="1" t="s">
        <v>34</v>
      </c>
      <c r="H38">
        <v>18</v>
      </c>
      <c r="I38">
        <v>23</v>
      </c>
      <c r="J38">
        <v>28</v>
      </c>
      <c r="K38">
        <v>3</v>
      </c>
      <c r="L38" s="1" t="s">
        <v>26</v>
      </c>
      <c r="M38">
        <v>2.11</v>
      </c>
      <c r="N38" s="1" t="s">
        <v>60</v>
      </c>
      <c r="O38" s="1" t="s">
        <v>49</v>
      </c>
      <c r="P38">
        <v>26</v>
      </c>
      <c r="Q38">
        <v>671</v>
      </c>
      <c r="R38">
        <v>19</v>
      </c>
      <c r="S38">
        <v>45.53</v>
      </c>
      <c r="T38" s="1" t="s">
        <v>45</v>
      </c>
      <c r="U38">
        <v>3.81</v>
      </c>
      <c r="V38" s="1" t="s">
        <v>39</v>
      </c>
      <c r="W38" s="1" t="s">
        <v>40</v>
      </c>
      <c r="X38">
        <v>403.81</v>
      </c>
      <c r="Y38" s="6">
        <v>20.159095666736444</v>
      </c>
      <c r="Z38" t="str">
        <v>normal</v>
      </c>
      <c r="AA38" s="5">
        <v>14.084802686817801</v>
      </c>
      <c r="AB38" s="6">
        <v>35.315789473684212</v>
      </c>
      <c r="AC38" s="6">
        <v>14.737535690753349</v>
      </c>
      <c r="AD38">
        <v>451.45</v>
      </c>
    </row>
    <row r="39" spans="1:30" x14ac:dyDescent="0.2">
      <c r="A39" s="1" t="s">
        <v>32</v>
      </c>
      <c r="B39" s="1" t="s">
        <v>90</v>
      </c>
      <c r="C39">
        <v>23.4</v>
      </c>
      <c r="D39">
        <v>5</v>
      </c>
      <c r="E39">
        <v>963</v>
      </c>
      <c r="F39">
        <v>2438.34</v>
      </c>
      <c r="G39" s="1" t="s">
        <v>34</v>
      </c>
      <c r="H39">
        <v>25</v>
      </c>
      <c r="I39">
        <v>8</v>
      </c>
      <c r="J39">
        <v>21</v>
      </c>
      <c r="K39">
        <v>9</v>
      </c>
      <c r="L39" s="1" t="s">
        <v>35</v>
      </c>
      <c r="M39">
        <v>1.53</v>
      </c>
      <c r="N39" s="1" t="s">
        <v>27</v>
      </c>
      <c r="O39" s="1" t="s">
        <v>44</v>
      </c>
      <c r="P39">
        <v>24</v>
      </c>
      <c r="Q39">
        <v>867</v>
      </c>
      <c r="R39">
        <v>15</v>
      </c>
      <c r="S39">
        <v>34.340000000000003</v>
      </c>
      <c r="T39" s="1" t="s">
        <v>29</v>
      </c>
      <c r="U39">
        <v>2.61</v>
      </c>
      <c r="V39" s="1" t="s">
        <v>55</v>
      </c>
      <c r="W39" s="1" t="s">
        <v>47</v>
      </c>
      <c r="X39">
        <v>183.93</v>
      </c>
      <c r="Y39" s="6">
        <v>20.159095666736444</v>
      </c>
      <c r="Z39" t="str">
        <v>normal</v>
      </c>
      <c r="AA39" s="5">
        <v>24.170616113744074</v>
      </c>
      <c r="AB39" s="6">
        <v>57.8</v>
      </c>
      <c r="AC39" s="6">
        <v>25.247524752475243</v>
      </c>
      <c r="AD39">
        <v>219.8</v>
      </c>
    </row>
    <row r="40" spans="1:30" x14ac:dyDescent="0.2">
      <c r="A40" s="1" t="s">
        <v>56</v>
      </c>
      <c r="B40" s="1" t="s">
        <v>91</v>
      </c>
      <c r="C40">
        <v>52.08</v>
      </c>
      <c r="D40">
        <v>75</v>
      </c>
      <c r="E40">
        <v>705</v>
      </c>
      <c r="F40">
        <v>9692.32</v>
      </c>
      <c r="G40" s="1" t="s">
        <v>25</v>
      </c>
      <c r="H40">
        <v>69</v>
      </c>
      <c r="I40">
        <v>1</v>
      </c>
      <c r="J40">
        <v>88</v>
      </c>
      <c r="K40">
        <v>5</v>
      </c>
      <c r="L40" s="1" t="s">
        <v>26</v>
      </c>
      <c r="M40">
        <v>9.24</v>
      </c>
      <c r="N40" s="1" t="s">
        <v>43</v>
      </c>
      <c r="O40" s="1" t="s">
        <v>28</v>
      </c>
      <c r="P40">
        <v>10</v>
      </c>
      <c r="Q40">
        <v>841</v>
      </c>
      <c r="R40">
        <v>12</v>
      </c>
      <c r="S40">
        <v>5.93</v>
      </c>
      <c r="T40" s="1" t="s">
        <v>29</v>
      </c>
      <c r="U40">
        <v>0.61</v>
      </c>
      <c r="V40" s="1" t="s">
        <v>39</v>
      </c>
      <c r="W40" s="1" t="s">
        <v>31</v>
      </c>
      <c r="X40">
        <v>339.67</v>
      </c>
      <c r="Y40" s="6">
        <v>14.758216453841323</v>
      </c>
      <c r="Z40" t="str">
        <v>normal</v>
      </c>
      <c r="AA40" s="5">
        <v>55.438365194462754</v>
      </c>
      <c r="AB40" s="6">
        <v>70.083333333333329</v>
      </c>
      <c r="AC40" s="6">
        <v>141.82124789207421</v>
      </c>
      <c r="AD40">
        <v>354.84000000000003</v>
      </c>
    </row>
    <row r="41" spans="1:30" x14ac:dyDescent="0.2">
      <c r="A41" s="1" t="s">
        <v>32</v>
      </c>
      <c r="B41" s="1" t="s">
        <v>92</v>
      </c>
      <c r="C41">
        <v>19.13</v>
      </c>
      <c r="D41">
        <v>26</v>
      </c>
      <c r="E41">
        <v>176</v>
      </c>
      <c r="F41">
        <v>1912.47</v>
      </c>
      <c r="G41" s="1" t="s">
        <v>34</v>
      </c>
      <c r="H41">
        <v>78</v>
      </c>
      <c r="I41">
        <v>29</v>
      </c>
      <c r="J41">
        <v>34</v>
      </c>
      <c r="K41">
        <v>3</v>
      </c>
      <c r="L41" s="1" t="s">
        <v>35</v>
      </c>
      <c r="M41">
        <v>5.56</v>
      </c>
      <c r="N41" s="1" t="s">
        <v>60</v>
      </c>
      <c r="O41" s="1" t="s">
        <v>44</v>
      </c>
      <c r="P41">
        <v>30</v>
      </c>
      <c r="Q41">
        <v>791</v>
      </c>
      <c r="R41">
        <v>6</v>
      </c>
      <c r="S41">
        <v>9.01</v>
      </c>
      <c r="T41" s="1" t="s">
        <v>45</v>
      </c>
      <c r="U41">
        <v>1.45</v>
      </c>
      <c r="V41" s="1" t="s">
        <v>39</v>
      </c>
      <c r="W41" s="1" t="s">
        <v>31</v>
      </c>
      <c r="X41">
        <v>653.66999999999996</v>
      </c>
      <c r="Y41" s="6">
        <v>3.6843207033703158</v>
      </c>
      <c r="Z41" t="str">
        <v>normal</v>
      </c>
      <c r="AA41" s="5">
        <v>54.289636238846946</v>
      </c>
      <c r="AB41" s="6">
        <v>131.83333333333334</v>
      </c>
      <c r="AC41" s="6">
        <v>87.791342952275258</v>
      </c>
      <c r="AD41">
        <v>668.24</v>
      </c>
    </row>
    <row r="42" spans="1:30" x14ac:dyDescent="0.2">
      <c r="A42" s="1" t="s">
        <v>32</v>
      </c>
      <c r="B42" s="1" t="s">
        <v>93</v>
      </c>
      <c r="C42">
        <v>80.540000000000006</v>
      </c>
      <c r="D42">
        <v>97</v>
      </c>
      <c r="E42">
        <v>933</v>
      </c>
      <c r="F42">
        <v>5724.96</v>
      </c>
      <c r="G42" s="1" t="s">
        <v>34</v>
      </c>
      <c r="H42">
        <v>90</v>
      </c>
      <c r="I42">
        <v>20</v>
      </c>
      <c r="J42">
        <v>39</v>
      </c>
      <c r="K42">
        <v>8</v>
      </c>
      <c r="L42" s="1" t="s">
        <v>42</v>
      </c>
      <c r="M42">
        <v>7.23</v>
      </c>
      <c r="N42" s="1" t="s">
        <v>38</v>
      </c>
      <c r="O42" s="1" t="s">
        <v>44</v>
      </c>
      <c r="P42">
        <v>18</v>
      </c>
      <c r="Q42">
        <v>793</v>
      </c>
      <c r="R42">
        <v>1</v>
      </c>
      <c r="S42">
        <v>88.18</v>
      </c>
      <c r="T42" s="1" t="s">
        <v>29</v>
      </c>
      <c r="U42">
        <v>4.21</v>
      </c>
      <c r="V42" s="1" t="s">
        <v>30</v>
      </c>
      <c r="W42" s="1" t="s">
        <v>47</v>
      </c>
      <c r="X42">
        <v>529.80999999999995</v>
      </c>
      <c r="Y42" s="6">
        <v>19.531086455934688</v>
      </c>
      <c r="Z42" t="str">
        <v>normal</v>
      </c>
      <c r="AA42" s="5">
        <v>8.3114977465674453</v>
      </c>
      <c r="AB42" s="6">
        <v>793</v>
      </c>
      <c r="AC42" s="6">
        <v>8.992968927194374</v>
      </c>
      <c r="AD42">
        <v>625.21999999999991</v>
      </c>
    </row>
    <row r="43" spans="1:30" x14ac:dyDescent="0.2">
      <c r="A43" s="1" t="s">
        <v>32</v>
      </c>
      <c r="B43" s="1" t="s">
        <v>94</v>
      </c>
      <c r="C43">
        <v>99.11</v>
      </c>
      <c r="D43">
        <v>35</v>
      </c>
      <c r="E43">
        <v>556</v>
      </c>
      <c r="F43">
        <v>5521.21</v>
      </c>
      <c r="G43" s="1" t="s">
        <v>34</v>
      </c>
      <c r="H43">
        <v>64</v>
      </c>
      <c r="I43">
        <v>19</v>
      </c>
      <c r="J43">
        <v>38</v>
      </c>
      <c r="K43">
        <v>8</v>
      </c>
      <c r="L43" s="1" t="s">
        <v>26</v>
      </c>
      <c r="M43">
        <v>5.77</v>
      </c>
      <c r="N43" s="1" t="s">
        <v>51</v>
      </c>
      <c r="O43" s="1" t="s">
        <v>61</v>
      </c>
      <c r="P43">
        <v>18</v>
      </c>
      <c r="Q43">
        <v>892</v>
      </c>
      <c r="R43">
        <v>7</v>
      </c>
      <c r="S43">
        <v>95.33</v>
      </c>
      <c r="T43" s="1" t="s">
        <v>45</v>
      </c>
      <c r="U43">
        <v>0.05</v>
      </c>
      <c r="V43" s="1" t="s">
        <v>55</v>
      </c>
      <c r="W43" s="1" t="s">
        <v>47</v>
      </c>
      <c r="X43">
        <v>275.52</v>
      </c>
      <c r="Y43" s="6">
        <v>11.639104040192588</v>
      </c>
      <c r="Z43" t="str">
        <v>normal</v>
      </c>
      <c r="AA43" s="5">
        <v>8.8229475766567766</v>
      </c>
      <c r="AB43" s="6">
        <v>127.42857142857143</v>
      </c>
      <c r="AC43" s="6">
        <v>9.3569705234448755</v>
      </c>
      <c r="AD43">
        <v>376.62</v>
      </c>
    </row>
    <row r="44" spans="1:30" x14ac:dyDescent="0.2">
      <c r="A44" s="1" t="s">
        <v>32</v>
      </c>
      <c r="B44" s="1" t="s">
        <v>95</v>
      </c>
      <c r="C44">
        <v>46.53</v>
      </c>
      <c r="D44">
        <v>98</v>
      </c>
      <c r="E44">
        <v>155</v>
      </c>
      <c r="F44">
        <v>1839.61</v>
      </c>
      <c r="G44" s="1" t="s">
        <v>34</v>
      </c>
      <c r="H44">
        <v>22</v>
      </c>
      <c r="I44">
        <v>27</v>
      </c>
      <c r="J44">
        <v>57</v>
      </c>
      <c r="K44">
        <v>4</v>
      </c>
      <c r="L44" s="1" t="s">
        <v>42</v>
      </c>
      <c r="M44">
        <v>7.53</v>
      </c>
      <c r="N44" s="1" t="s">
        <v>43</v>
      </c>
      <c r="O44" s="1" t="s">
        <v>52</v>
      </c>
      <c r="P44">
        <v>26</v>
      </c>
      <c r="Q44">
        <v>179</v>
      </c>
      <c r="R44">
        <v>7</v>
      </c>
      <c r="S44">
        <v>96.42</v>
      </c>
      <c r="T44" s="1" t="s">
        <v>45</v>
      </c>
      <c r="U44">
        <v>4.9400000000000004</v>
      </c>
      <c r="V44" s="1" t="s">
        <v>30</v>
      </c>
      <c r="W44" s="1" t="s">
        <v>47</v>
      </c>
      <c r="X44">
        <v>635.66</v>
      </c>
      <c r="Y44" s="6">
        <v>3.2447142558090851</v>
      </c>
      <c r="Z44" t="str">
        <v>normal</v>
      </c>
      <c r="AA44" s="5">
        <v>1.7219817219817219</v>
      </c>
      <c r="AB44" s="6">
        <v>25.571428571428573</v>
      </c>
      <c r="AC44" s="6">
        <v>1.856461315079859</v>
      </c>
      <c r="AD44">
        <v>739.61</v>
      </c>
    </row>
    <row r="45" spans="1:30" x14ac:dyDescent="0.2">
      <c r="A45" s="1" t="s">
        <v>23</v>
      </c>
      <c r="B45" s="1" t="s">
        <v>96</v>
      </c>
      <c r="C45">
        <v>11.74</v>
      </c>
      <c r="D45">
        <v>6</v>
      </c>
      <c r="E45">
        <v>598</v>
      </c>
      <c r="F45">
        <v>5737.43</v>
      </c>
      <c r="G45" s="1" t="s">
        <v>37</v>
      </c>
      <c r="H45">
        <v>36</v>
      </c>
      <c r="I45">
        <v>29</v>
      </c>
      <c r="J45">
        <v>85</v>
      </c>
      <c r="K45">
        <v>9</v>
      </c>
      <c r="L45" s="1" t="s">
        <v>26</v>
      </c>
      <c r="M45">
        <v>3.69</v>
      </c>
      <c r="N45" s="1" t="s">
        <v>43</v>
      </c>
      <c r="O45" s="1" t="s">
        <v>28</v>
      </c>
      <c r="P45">
        <v>1</v>
      </c>
      <c r="Q45">
        <v>206</v>
      </c>
      <c r="R45">
        <v>23</v>
      </c>
      <c r="S45">
        <v>26.28</v>
      </c>
      <c r="T45" s="1" t="s">
        <v>29</v>
      </c>
      <c r="U45">
        <v>0.37</v>
      </c>
      <c r="V45" s="1" t="s">
        <v>39</v>
      </c>
      <c r="W45" s="1" t="s">
        <v>47</v>
      </c>
      <c r="X45">
        <v>716.04</v>
      </c>
      <c r="Y45" s="6">
        <v>12.518316935315051</v>
      </c>
      <c r="Z45" t="str">
        <v>normal</v>
      </c>
      <c r="AA45" s="5">
        <v>6.8735402068735398</v>
      </c>
      <c r="AB45" s="6">
        <v>8.9565217391304355</v>
      </c>
      <c r="AC45" s="6">
        <v>7.8386605783866052</v>
      </c>
      <c r="AD45">
        <v>746.01</v>
      </c>
    </row>
    <row r="46" spans="1:30" x14ac:dyDescent="0.2">
      <c r="A46" s="1" t="s">
        <v>56</v>
      </c>
      <c r="B46" s="1" t="s">
        <v>97</v>
      </c>
      <c r="C46">
        <v>51.36</v>
      </c>
      <c r="D46">
        <v>34</v>
      </c>
      <c r="E46">
        <v>919</v>
      </c>
      <c r="F46">
        <v>7152.29</v>
      </c>
      <c r="G46" s="1" t="s">
        <v>34</v>
      </c>
      <c r="H46">
        <v>13</v>
      </c>
      <c r="I46">
        <v>19</v>
      </c>
      <c r="J46">
        <v>72</v>
      </c>
      <c r="K46">
        <v>6</v>
      </c>
      <c r="L46" s="1" t="s">
        <v>42</v>
      </c>
      <c r="M46">
        <v>7.58</v>
      </c>
      <c r="N46" s="1" t="s">
        <v>60</v>
      </c>
      <c r="O46" s="1" t="s">
        <v>49</v>
      </c>
      <c r="P46">
        <v>7</v>
      </c>
      <c r="Q46">
        <v>834</v>
      </c>
      <c r="R46">
        <v>18</v>
      </c>
      <c r="S46">
        <v>22.55</v>
      </c>
      <c r="T46" s="1" t="s">
        <v>45</v>
      </c>
      <c r="U46">
        <v>2.96</v>
      </c>
      <c r="V46" s="1" t="s">
        <v>46</v>
      </c>
      <c r="W46" s="1" t="s">
        <v>47</v>
      </c>
      <c r="X46">
        <v>610.45000000000005</v>
      </c>
      <c r="Y46" s="6">
        <v>19.238015490893865</v>
      </c>
      <c r="Z46" t="str">
        <v>normal</v>
      </c>
      <c r="AA46" s="5">
        <v>27.680053103219379</v>
      </c>
      <c r="AB46" s="6">
        <v>46.333333333333336</v>
      </c>
      <c r="AC46" s="6">
        <v>36.984478935698448</v>
      </c>
      <c r="AD46">
        <v>640.58000000000004</v>
      </c>
    </row>
    <row r="47" spans="1:30" x14ac:dyDescent="0.2">
      <c r="A47" s="1" t="s">
        <v>23</v>
      </c>
      <c r="B47" s="1" t="s">
        <v>98</v>
      </c>
      <c r="C47">
        <v>33.78</v>
      </c>
      <c r="D47">
        <v>1</v>
      </c>
      <c r="E47">
        <v>24</v>
      </c>
      <c r="F47">
        <v>5267.96</v>
      </c>
      <c r="G47" s="1" t="s">
        <v>54</v>
      </c>
      <c r="H47">
        <v>93</v>
      </c>
      <c r="I47">
        <v>7</v>
      </c>
      <c r="J47">
        <v>52</v>
      </c>
      <c r="K47">
        <v>6</v>
      </c>
      <c r="L47" s="1" t="s">
        <v>26</v>
      </c>
      <c r="M47">
        <v>5.22</v>
      </c>
      <c r="N47" s="1" t="s">
        <v>60</v>
      </c>
      <c r="O47" s="1" t="s">
        <v>61</v>
      </c>
      <c r="P47">
        <v>25</v>
      </c>
      <c r="Q47">
        <v>794</v>
      </c>
      <c r="R47">
        <v>25</v>
      </c>
      <c r="S47">
        <v>66.31</v>
      </c>
      <c r="T47" s="1" t="s">
        <v>63</v>
      </c>
      <c r="U47">
        <v>3.22</v>
      </c>
      <c r="V47" s="1" t="s">
        <v>46</v>
      </c>
      <c r="W47" s="1" t="s">
        <v>47</v>
      </c>
      <c r="X47">
        <v>495.31</v>
      </c>
      <c r="Y47" s="6">
        <v>0.50240736864140667</v>
      </c>
      <c r="Z47" t="str">
        <v>overstock</v>
      </c>
      <c r="AA47" s="5">
        <v>11.100237662519223</v>
      </c>
      <c r="AB47" s="6">
        <v>31.76</v>
      </c>
      <c r="AC47" s="6">
        <v>11.974061227567486</v>
      </c>
      <c r="AD47">
        <v>566.84</v>
      </c>
    </row>
    <row r="48" spans="1:30" x14ac:dyDescent="0.2">
      <c r="A48" s="1" t="s">
        <v>23</v>
      </c>
      <c r="B48" s="1" t="s">
        <v>99</v>
      </c>
      <c r="C48">
        <v>27.08</v>
      </c>
      <c r="D48">
        <v>75</v>
      </c>
      <c r="E48">
        <v>859</v>
      </c>
      <c r="F48">
        <v>2556.77</v>
      </c>
      <c r="G48" s="1" t="s">
        <v>25</v>
      </c>
      <c r="H48">
        <v>92</v>
      </c>
      <c r="I48">
        <v>29</v>
      </c>
      <c r="J48">
        <v>6</v>
      </c>
      <c r="K48">
        <v>8</v>
      </c>
      <c r="L48" s="1" t="s">
        <v>26</v>
      </c>
      <c r="M48">
        <v>4.07</v>
      </c>
      <c r="N48" s="1" t="s">
        <v>27</v>
      </c>
      <c r="O48" s="1" t="s">
        <v>61</v>
      </c>
      <c r="P48">
        <v>18</v>
      </c>
      <c r="Q48">
        <v>870</v>
      </c>
      <c r="R48">
        <v>23</v>
      </c>
      <c r="S48">
        <v>77.319999999999993</v>
      </c>
      <c r="T48" s="1" t="s">
        <v>29</v>
      </c>
      <c r="U48">
        <v>3.65</v>
      </c>
      <c r="V48" s="1" t="s">
        <v>30</v>
      </c>
      <c r="W48" s="1" t="s">
        <v>31</v>
      </c>
      <c r="X48">
        <v>380.44</v>
      </c>
      <c r="Y48" s="6">
        <v>17.981997069290347</v>
      </c>
      <c r="Z48" t="str">
        <v>normal</v>
      </c>
      <c r="AA48" s="5">
        <v>10.689273866568376</v>
      </c>
      <c r="AB48" s="6">
        <v>37.826086956521742</v>
      </c>
      <c r="AC48" s="6">
        <v>11.251939989653389</v>
      </c>
      <c r="AD48">
        <v>461.83</v>
      </c>
    </row>
    <row r="49" spans="1:30" x14ac:dyDescent="0.2">
      <c r="A49" s="1" t="s">
        <v>32</v>
      </c>
      <c r="B49" s="1" t="s">
        <v>100</v>
      </c>
      <c r="C49">
        <v>95.71</v>
      </c>
      <c r="D49">
        <v>93</v>
      </c>
      <c r="E49">
        <v>910</v>
      </c>
      <c r="F49">
        <v>7089.47</v>
      </c>
      <c r="G49" s="1" t="s">
        <v>54</v>
      </c>
      <c r="H49">
        <v>4</v>
      </c>
      <c r="I49">
        <v>15</v>
      </c>
      <c r="J49">
        <v>51</v>
      </c>
      <c r="K49">
        <v>9</v>
      </c>
      <c r="L49" s="1" t="s">
        <v>26</v>
      </c>
      <c r="M49">
        <v>8.98</v>
      </c>
      <c r="N49" s="1" t="s">
        <v>38</v>
      </c>
      <c r="O49" s="1" t="s">
        <v>44</v>
      </c>
      <c r="P49">
        <v>10</v>
      </c>
      <c r="Q49">
        <v>964</v>
      </c>
      <c r="R49">
        <v>20</v>
      </c>
      <c r="S49">
        <v>19.71</v>
      </c>
      <c r="T49" s="1" t="s">
        <v>29</v>
      </c>
      <c r="U49">
        <v>0.38</v>
      </c>
      <c r="V49" s="1" t="s">
        <v>46</v>
      </c>
      <c r="W49" s="1" t="s">
        <v>47</v>
      </c>
      <c r="X49">
        <v>581.6</v>
      </c>
      <c r="Y49" s="6">
        <v>19.049612727653336</v>
      </c>
      <c r="Z49" t="str">
        <v>normal</v>
      </c>
      <c r="AA49" s="5">
        <v>33.600557685604741</v>
      </c>
      <c r="AB49" s="6">
        <v>48.2</v>
      </c>
      <c r="AC49" s="6">
        <v>48.909183155758498</v>
      </c>
      <c r="AD49">
        <v>610.29000000000008</v>
      </c>
    </row>
    <row r="50" spans="1:30" x14ac:dyDescent="0.2">
      <c r="A50" s="1" t="s">
        <v>23</v>
      </c>
      <c r="B50" s="1" t="s">
        <v>101</v>
      </c>
      <c r="C50">
        <v>76.040000000000006</v>
      </c>
      <c r="D50">
        <v>28</v>
      </c>
      <c r="E50">
        <v>29</v>
      </c>
      <c r="F50">
        <v>7397.07</v>
      </c>
      <c r="G50" s="1" t="s">
        <v>25</v>
      </c>
      <c r="H50">
        <v>30</v>
      </c>
      <c r="I50">
        <v>16</v>
      </c>
      <c r="J50">
        <v>9</v>
      </c>
      <c r="K50">
        <v>3</v>
      </c>
      <c r="L50" s="1" t="s">
        <v>42</v>
      </c>
      <c r="M50">
        <v>7.1</v>
      </c>
      <c r="N50" s="1" t="s">
        <v>60</v>
      </c>
      <c r="O50" s="1" t="s">
        <v>28</v>
      </c>
      <c r="P50">
        <v>9</v>
      </c>
      <c r="Q50">
        <v>109</v>
      </c>
      <c r="R50">
        <v>18</v>
      </c>
      <c r="S50">
        <v>23.13</v>
      </c>
      <c r="T50" s="1" t="s">
        <v>45</v>
      </c>
      <c r="U50">
        <v>1.7</v>
      </c>
      <c r="V50" s="1" t="s">
        <v>46</v>
      </c>
      <c r="W50" s="1" t="s">
        <v>31</v>
      </c>
      <c r="X50">
        <v>768.65</v>
      </c>
      <c r="Y50" s="6">
        <v>0.6070755704416998</v>
      </c>
      <c r="Z50" t="str">
        <v>overstock</v>
      </c>
      <c r="AA50" s="5">
        <v>3.6056897122064178</v>
      </c>
      <c r="AB50" s="6">
        <v>6.0555555555555554</v>
      </c>
      <c r="AC50" s="6">
        <v>4.7124945957630784</v>
      </c>
      <c r="AD50">
        <v>798.88</v>
      </c>
    </row>
    <row r="51" spans="1:30" x14ac:dyDescent="0.2">
      <c r="A51" s="1" t="s">
        <v>56</v>
      </c>
      <c r="B51" s="1" t="s">
        <v>102</v>
      </c>
      <c r="C51">
        <v>78.900000000000006</v>
      </c>
      <c r="D51">
        <v>19</v>
      </c>
      <c r="E51">
        <v>99</v>
      </c>
      <c r="F51">
        <v>8001.61</v>
      </c>
      <c r="G51" s="1" t="s">
        <v>37</v>
      </c>
      <c r="H51">
        <v>97</v>
      </c>
      <c r="I51">
        <v>24</v>
      </c>
      <c r="J51">
        <v>9</v>
      </c>
      <c r="K51">
        <v>6</v>
      </c>
      <c r="L51" s="1" t="s">
        <v>42</v>
      </c>
      <c r="M51">
        <v>2.5099999999999998</v>
      </c>
      <c r="N51" s="1" t="s">
        <v>43</v>
      </c>
      <c r="O51" s="1" t="s">
        <v>49</v>
      </c>
      <c r="P51">
        <v>28</v>
      </c>
      <c r="Q51">
        <v>177</v>
      </c>
      <c r="R51">
        <v>28</v>
      </c>
      <c r="S51">
        <v>14.15</v>
      </c>
      <c r="T51" s="1" t="s">
        <v>63</v>
      </c>
      <c r="U51">
        <v>2.83</v>
      </c>
      <c r="V51" s="1" t="s">
        <v>46</v>
      </c>
      <c r="W51" s="1" t="s">
        <v>47</v>
      </c>
      <c r="X51">
        <v>336.89</v>
      </c>
      <c r="Y51" s="6">
        <v>2.0724303956458026</v>
      </c>
      <c r="Z51" t="str">
        <v>normal</v>
      </c>
      <c r="AA51" s="5">
        <v>10.624249699879952</v>
      </c>
      <c r="AB51" s="6">
        <v>6.3214285714285712</v>
      </c>
      <c r="AC51" s="6">
        <v>12.508833922261484</v>
      </c>
      <c r="AD51">
        <v>353.55</v>
      </c>
    </row>
    <row r="52" spans="1:30" x14ac:dyDescent="0.2">
      <c r="A52" s="1" t="s">
        <v>56</v>
      </c>
      <c r="B52" s="1" t="s">
        <v>103</v>
      </c>
      <c r="C52">
        <v>14.2</v>
      </c>
      <c r="D52">
        <v>91</v>
      </c>
      <c r="E52">
        <v>633</v>
      </c>
      <c r="F52">
        <v>5910.89</v>
      </c>
      <c r="G52" s="1" t="s">
        <v>34</v>
      </c>
      <c r="H52">
        <v>31</v>
      </c>
      <c r="I52">
        <v>23</v>
      </c>
      <c r="J52">
        <v>82</v>
      </c>
      <c r="K52">
        <v>10</v>
      </c>
      <c r="L52" s="1" t="s">
        <v>35</v>
      </c>
      <c r="M52">
        <v>6.25</v>
      </c>
      <c r="N52" s="1" t="s">
        <v>60</v>
      </c>
      <c r="O52" s="1" t="s">
        <v>49</v>
      </c>
      <c r="P52">
        <v>20</v>
      </c>
      <c r="Q52">
        <v>306</v>
      </c>
      <c r="R52">
        <v>21</v>
      </c>
      <c r="S52">
        <v>45.18</v>
      </c>
      <c r="T52" s="1" t="s">
        <v>45</v>
      </c>
      <c r="U52">
        <v>4.75</v>
      </c>
      <c r="V52" s="1" t="s">
        <v>46</v>
      </c>
      <c r="W52" s="1" t="s">
        <v>31</v>
      </c>
      <c r="X52">
        <v>496.25</v>
      </c>
      <c r="Y52" s="6">
        <v>13.250994347917102</v>
      </c>
      <c r="Z52" t="str">
        <v>normal</v>
      </c>
      <c r="AA52" s="5">
        <v>5.949834726813144</v>
      </c>
      <c r="AB52" s="6">
        <v>14.571428571428571</v>
      </c>
      <c r="AC52" s="6">
        <v>6.7729083665338647</v>
      </c>
      <c r="AD52">
        <v>547.67999999999995</v>
      </c>
    </row>
    <row r="53" spans="1:30" x14ac:dyDescent="0.2">
      <c r="A53" s="1" t="s">
        <v>23</v>
      </c>
      <c r="B53" s="1" t="s">
        <v>104</v>
      </c>
      <c r="C53">
        <v>26.7</v>
      </c>
      <c r="D53">
        <v>61</v>
      </c>
      <c r="E53">
        <v>154</v>
      </c>
      <c r="F53">
        <v>9866.4699999999993</v>
      </c>
      <c r="G53" s="1" t="s">
        <v>54</v>
      </c>
      <c r="H53">
        <v>100</v>
      </c>
      <c r="I53">
        <v>4</v>
      </c>
      <c r="J53">
        <v>52</v>
      </c>
      <c r="K53">
        <v>1</v>
      </c>
      <c r="L53" s="1" t="s">
        <v>35</v>
      </c>
      <c r="M53">
        <v>4.78</v>
      </c>
      <c r="N53" s="1" t="s">
        <v>43</v>
      </c>
      <c r="O53" s="1" t="s">
        <v>52</v>
      </c>
      <c r="P53">
        <v>18</v>
      </c>
      <c r="Q53">
        <v>673</v>
      </c>
      <c r="R53">
        <v>28</v>
      </c>
      <c r="S53">
        <v>14.19</v>
      </c>
      <c r="T53" s="1" t="s">
        <v>29</v>
      </c>
      <c r="U53">
        <v>1.77</v>
      </c>
      <c r="V53" s="1" t="s">
        <v>30</v>
      </c>
      <c r="W53" s="1" t="s">
        <v>47</v>
      </c>
      <c r="X53">
        <v>694.98</v>
      </c>
      <c r="Y53" s="6">
        <v>3.2237806154490265</v>
      </c>
      <c r="Z53" t="str">
        <v>normal</v>
      </c>
      <c r="AA53" s="5">
        <v>35.477069056404851</v>
      </c>
      <c r="AB53" s="6">
        <v>24.035714285714285</v>
      </c>
      <c r="AC53" s="6">
        <v>47.427766032417196</v>
      </c>
      <c r="AD53">
        <v>713.95</v>
      </c>
    </row>
    <row r="54" spans="1:30" x14ac:dyDescent="0.2">
      <c r="A54" s="1" t="s">
        <v>32</v>
      </c>
      <c r="B54" s="1" t="s">
        <v>105</v>
      </c>
      <c r="C54">
        <v>98.03</v>
      </c>
      <c r="D54">
        <v>1</v>
      </c>
      <c r="E54">
        <v>820</v>
      </c>
      <c r="F54">
        <v>9435.76</v>
      </c>
      <c r="G54" s="1" t="s">
        <v>54</v>
      </c>
      <c r="H54">
        <v>64</v>
      </c>
      <c r="I54">
        <v>11</v>
      </c>
      <c r="J54">
        <v>11</v>
      </c>
      <c r="K54">
        <v>1</v>
      </c>
      <c r="L54" s="1" t="s">
        <v>26</v>
      </c>
      <c r="M54">
        <v>8.6300000000000008</v>
      </c>
      <c r="N54" s="1" t="s">
        <v>38</v>
      </c>
      <c r="O54" s="1" t="s">
        <v>28</v>
      </c>
      <c r="P54">
        <v>10</v>
      </c>
      <c r="Q54">
        <v>727</v>
      </c>
      <c r="R54">
        <v>27</v>
      </c>
      <c r="S54">
        <v>9.17</v>
      </c>
      <c r="T54" s="1" t="s">
        <v>29</v>
      </c>
      <c r="U54">
        <v>2.12</v>
      </c>
      <c r="V54" s="1" t="s">
        <v>39</v>
      </c>
      <c r="W54" s="1" t="s">
        <v>40</v>
      </c>
      <c r="X54">
        <v>602.9</v>
      </c>
      <c r="Y54" s="6">
        <v>17.165585095248062</v>
      </c>
      <c r="Z54" t="str">
        <v>normal</v>
      </c>
      <c r="AA54" s="5">
        <v>40.842696629213485</v>
      </c>
      <c r="AB54" s="6">
        <v>26.925925925925927</v>
      </c>
      <c r="AC54" s="6">
        <v>79.280261723009815</v>
      </c>
      <c r="AD54">
        <v>620.69999999999993</v>
      </c>
    </row>
    <row r="55" spans="1:30" x14ac:dyDescent="0.2">
      <c r="A55" s="1" t="s">
        <v>32</v>
      </c>
      <c r="B55" s="1" t="s">
        <v>106</v>
      </c>
      <c r="C55">
        <v>30.34</v>
      </c>
      <c r="D55">
        <v>93</v>
      </c>
      <c r="E55">
        <v>242</v>
      </c>
      <c r="F55">
        <v>8232.33</v>
      </c>
      <c r="G55" s="1" t="s">
        <v>54</v>
      </c>
      <c r="H55">
        <v>96</v>
      </c>
      <c r="I55">
        <v>25</v>
      </c>
      <c r="J55">
        <v>54</v>
      </c>
      <c r="K55">
        <v>3</v>
      </c>
      <c r="L55" s="1" t="s">
        <v>26</v>
      </c>
      <c r="M55">
        <v>1.01</v>
      </c>
      <c r="N55" s="1" t="s">
        <v>38</v>
      </c>
      <c r="O55" s="1" t="s">
        <v>49</v>
      </c>
      <c r="P55">
        <v>1</v>
      </c>
      <c r="Q55">
        <v>631</v>
      </c>
      <c r="R55">
        <v>17</v>
      </c>
      <c r="S55">
        <v>83.34</v>
      </c>
      <c r="T55" s="1" t="s">
        <v>29</v>
      </c>
      <c r="U55">
        <v>1.41</v>
      </c>
      <c r="V55" s="1" t="s">
        <v>39</v>
      </c>
      <c r="W55" s="1" t="s">
        <v>31</v>
      </c>
      <c r="X55">
        <v>750.74</v>
      </c>
      <c r="Y55" s="6">
        <v>5.0659409671341846</v>
      </c>
      <c r="Z55" t="str">
        <v>normal</v>
      </c>
      <c r="AA55" s="5">
        <v>7.4807350326022517</v>
      </c>
      <c r="AB55" s="6">
        <v>37.117647058823529</v>
      </c>
      <c r="AC55" s="6">
        <v>7.571394288456923</v>
      </c>
      <c r="AD55">
        <v>835.09</v>
      </c>
    </row>
    <row r="56" spans="1:30" x14ac:dyDescent="0.2">
      <c r="A56" s="1" t="s">
        <v>23</v>
      </c>
      <c r="B56" s="1" t="s">
        <v>107</v>
      </c>
      <c r="C56">
        <v>31.15</v>
      </c>
      <c r="D56">
        <v>11</v>
      </c>
      <c r="E56">
        <v>622</v>
      </c>
      <c r="F56">
        <v>6088.02</v>
      </c>
      <c r="G56" s="1" t="s">
        <v>25</v>
      </c>
      <c r="H56">
        <v>33</v>
      </c>
      <c r="I56">
        <v>22</v>
      </c>
      <c r="J56">
        <v>61</v>
      </c>
      <c r="K56">
        <v>3</v>
      </c>
      <c r="L56" s="1" t="s">
        <v>26</v>
      </c>
      <c r="M56">
        <v>4.3099999999999996</v>
      </c>
      <c r="N56" s="1" t="s">
        <v>38</v>
      </c>
      <c r="O56" s="1" t="s">
        <v>44</v>
      </c>
      <c r="P56">
        <v>26</v>
      </c>
      <c r="Q56">
        <v>497</v>
      </c>
      <c r="R56">
        <v>29</v>
      </c>
      <c r="S56">
        <v>30.19</v>
      </c>
      <c r="T56" s="1" t="s">
        <v>63</v>
      </c>
      <c r="U56">
        <v>2.48</v>
      </c>
      <c r="V56" s="1" t="s">
        <v>30</v>
      </c>
      <c r="W56" s="1" t="s">
        <v>31</v>
      </c>
      <c r="X56">
        <v>814.07</v>
      </c>
      <c r="Y56" s="6">
        <v>13.020724303956458</v>
      </c>
      <c r="Z56" t="str">
        <v>normal</v>
      </c>
      <c r="AA56" s="5">
        <v>14.405797101449275</v>
      </c>
      <c r="AB56" s="6">
        <v>17.137931034482758</v>
      </c>
      <c r="AC56" s="6">
        <v>16.46240476979132</v>
      </c>
      <c r="AD56">
        <v>848.57</v>
      </c>
    </row>
    <row r="57" spans="1:30" x14ac:dyDescent="0.2">
      <c r="A57" s="1" t="s">
        <v>23</v>
      </c>
      <c r="B57" s="1" t="s">
        <v>108</v>
      </c>
      <c r="C57">
        <v>79.86</v>
      </c>
      <c r="D57">
        <v>16</v>
      </c>
      <c r="E57">
        <v>701</v>
      </c>
      <c r="F57">
        <v>2925.68</v>
      </c>
      <c r="G57" s="1" t="s">
        <v>54</v>
      </c>
      <c r="H57">
        <v>97</v>
      </c>
      <c r="I57">
        <v>11</v>
      </c>
      <c r="J57">
        <v>11</v>
      </c>
      <c r="K57">
        <v>5</v>
      </c>
      <c r="L57" s="1" t="s">
        <v>35</v>
      </c>
      <c r="M57">
        <v>5.01</v>
      </c>
      <c r="N57" s="1" t="s">
        <v>60</v>
      </c>
      <c r="O57" s="1" t="s">
        <v>49</v>
      </c>
      <c r="P57">
        <v>27</v>
      </c>
      <c r="Q57">
        <v>918</v>
      </c>
      <c r="R57">
        <v>5</v>
      </c>
      <c r="S57">
        <v>30.32</v>
      </c>
      <c r="T57" s="1" t="s">
        <v>45</v>
      </c>
      <c r="U57">
        <v>4.55</v>
      </c>
      <c r="V57" s="1" t="s">
        <v>55</v>
      </c>
      <c r="W57" s="1" t="s">
        <v>31</v>
      </c>
      <c r="X57">
        <v>323.01</v>
      </c>
      <c r="Y57" s="6">
        <v>14.674481892401088</v>
      </c>
      <c r="Z57" t="str">
        <v>normal</v>
      </c>
      <c r="AA57" s="5">
        <v>25.983583356920466</v>
      </c>
      <c r="AB57" s="6">
        <v>183.6</v>
      </c>
      <c r="AC57" s="6">
        <v>30.277044854881265</v>
      </c>
      <c r="AD57">
        <v>358.34</v>
      </c>
    </row>
    <row r="58" spans="1:30" x14ac:dyDescent="0.2">
      <c r="A58" s="1" t="s">
        <v>32</v>
      </c>
      <c r="B58" s="1" t="s">
        <v>109</v>
      </c>
      <c r="C58">
        <v>20.99</v>
      </c>
      <c r="D58">
        <v>90</v>
      </c>
      <c r="E58">
        <v>93</v>
      </c>
      <c r="F58">
        <v>4767.0200000000004</v>
      </c>
      <c r="G58" s="1" t="s">
        <v>25</v>
      </c>
      <c r="H58">
        <v>25</v>
      </c>
      <c r="I58">
        <v>23</v>
      </c>
      <c r="J58">
        <v>83</v>
      </c>
      <c r="K58">
        <v>5</v>
      </c>
      <c r="L58" s="1" t="s">
        <v>42</v>
      </c>
      <c r="M58">
        <v>1.77</v>
      </c>
      <c r="N58" s="1" t="s">
        <v>38</v>
      </c>
      <c r="O58" s="1" t="s">
        <v>28</v>
      </c>
      <c r="P58">
        <v>24</v>
      </c>
      <c r="Q58">
        <v>826</v>
      </c>
      <c r="R58">
        <v>28</v>
      </c>
      <c r="S58">
        <v>12.84</v>
      </c>
      <c r="T58" s="1" t="s">
        <v>63</v>
      </c>
      <c r="U58">
        <v>1.17</v>
      </c>
      <c r="V58" s="1" t="s">
        <v>39</v>
      </c>
      <c r="W58" s="1" t="s">
        <v>31</v>
      </c>
      <c r="X58">
        <v>832.21</v>
      </c>
      <c r="Y58" s="6">
        <v>1.946828553485451</v>
      </c>
      <c r="Z58" t="str">
        <v>normal</v>
      </c>
      <c r="AA58" s="5">
        <v>56.536618754277896</v>
      </c>
      <c r="AB58" s="6">
        <v>29.5</v>
      </c>
      <c r="AC58" s="6">
        <v>64.330218068535828</v>
      </c>
      <c r="AD58">
        <v>846.82</v>
      </c>
    </row>
    <row r="59" spans="1:30" x14ac:dyDescent="0.2">
      <c r="A59" s="1" t="s">
        <v>23</v>
      </c>
      <c r="B59" s="1" t="s">
        <v>110</v>
      </c>
      <c r="C59">
        <v>49.26</v>
      </c>
      <c r="D59">
        <v>65</v>
      </c>
      <c r="E59">
        <v>227</v>
      </c>
      <c r="F59">
        <v>1605.87</v>
      </c>
      <c r="G59" s="1" t="s">
        <v>37</v>
      </c>
      <c r="H59">
        <v>5</v>
      </c>
      <c r="I59">
        <v>18</v>
      </c>
      <c r="J59">
        <v>51</v>
      </c>
      <c r="K59">
        <v>1</v>
      </c>
      <c r="L59" s="1" t="s">
        <v>26</v>
      </c>
      <c r="M59">
        <v>9.16</v>
      </c>
      <c r="N59" s="1" t="s">
        <v>60</v>
      </c>
      <c r="O59" s="1" t="s">
        <v>49</v>
      </c>
      <c r="P59">
        <v>21</v>
      </c>
      <c r="Q59">
        <v>588</v>
      </c>
      <c r="R59">
        <v>25</v>
      </c>
      <c r="S59">
        <v>67.78</v>
      </c>
      <c r="T59" s="1" t="s">
        <v>29</v>
      </c>
      <c r="U59">
        <v>2.5099999999999998</v>
      </c>
      <c r="V59" s="1" t="s">
        <v>46</v>
      </c>
      <c r="W59" s="1" t="s">
        <v>47</v>
      </c>
      <c r="X59">
        <v>482.19</v>
      </c>
      <c r="Y59" s="6">
        <v>4.7519363617333052</v>
      </c>
      <c r="Z59" t="str">
        <v>normal</v>
      </c>
      <c r="AA59" s="5">
        <v>7.6423186898882252</v>
      </c>
      <c r="AB59" s="6">
        <v>23.52</v>
      </c>
      <c r="AC59" s="6">
        <v>8.6751254057244029</v>
      </c>
      <c r="AD59">
        <v>559.13</v>
      </c>
    </row>
    <row r="60" spans="1:30" x14ac:dyDescent="0.2">
      <c r="A60" s="1" t="s">
        <v>32</v>
      </c>
      <c r="B60" s="1" t="s">
        <v>111</v>
      </c>
      <c r="C60">
        <v>59.84</v>
      </c>
      <c r="D60">
        <v>81</v>
      </c>
      <c r="E60">
        <v>896</v>
      </c>
      <c r="F60">
        <v>2021.15</v>
      </c>
      <c r="G60" s="1" t="s">
        <v>25</v>
      </c>
      <c r="H60">
        <v>10</v>
      </c>
      <c r="I60">
        <v>5</v>
      </c>
      <c r="J60">
        <v>44</v>
      </c>
      <c r="K60">
        <v>7</v>
      </c>
      <c r="L60" s="1" t="s">
        <v>35</v>
      </c>
      <c r="M60">
        <v>4.9400000000000004</v>
      </c>
      <c r="N60" s="1" t="s">
        <v>27</v>
      </c>
      <c r="O60" s="1" t="s">
        <v>49</v>
      </c>
      <c r="P60">
        <v>18</v>
      </c>
      <c r="Q60">
        <v>396</v>
      </c>
      <c r="R60">
        <v>7</v>
      </c>
      <c r="S60">
        <v>65.05</v>
      </c>
      <c r="T60" s="1" t="s">
        <v>45</v>
      </c>
      <c r="U60">
        <v>1.73</v>
      </c>
      <c r="V60" s="1" t="s">
        <v>30</v>
      </c>
      <c r="W60" s="1" t="s">
        <v>31</v>
      </c>
      <c r="X60">
        <v>110.36</v>
      </c>
      <c r="Y60" s="6">
        <v>18.756541762612517</v>
      </c>
      <c r="Z60" t="str">
        <v>normal</v>
      </c>
      <c r="AA60" s="5">
        <v>5.6579511358765542</v>
      </c>
      <c r="AB60" s="6">
        <v>56.571428571428569</v>
      </c>
      <c r="AC60" s="6">
        <v>6.0876249039200614</v>
      </c>
      <c r="AD60">
        <v>180.35</v>
      </c>
    </row>
    <row r="61" spans="1:30" x14ac:dyDescent="0.2">
      <c r="A61" s="1" t="s">
        <v>56</v>
      </c>
      <c r="B61" s="1" t="s">
        <v>112</v>
      </c>
      <c r="C61">
        <v>63.83</v>
      </c>
      <c r="D61">
        <v>30</v>
      </c>
      <c r="E61">
        <v>484</v>
      </c>
      <c r="F61">
        <v>1061.6199999999999</v>
      </c>
      <c r="G61" s="1" t="s">
        <v>25</v>
      </c>
      <c r="H61">
        <v>100</v>
      </c>
      <c r="I61">
        <v>16</v>
      </c>
      <c r="J61">
        <v>26</v>
      </c>
      <c r="K61">
        <v>7</v>
      </c>
      <c r="L61" s="1" t="s">
        <v>26</v>
      </c>
      <c r="M61">
        <v>7.29</v>
      </c>
      <c r="N61" s="1" t="s">
        <v>38</v>
      </c>
      <c r="O61" s="1" t="s">
        <v>44</v>
      </c>
      <c r="P61">
        <v>11</v>
      </c>
      <c r="Q61">
        <v>176</v>
      </c>
      <c r="R61">
        <v>4</v>
      </c>
      <c r="S61">
        <v>1.9</v>
      </c>
      <c r="T61" s="1" t="s">
        <v>45</v>
      </c>
      <c r="U61">
        <v>0.45</v>
      </c>
      <c r="V61" s="1" t="s">
        <v>39</v>
      </c>
      <c r="W61" s="1" t="s">
        <v>47</v>
      </c>
      <c r="X61">
        <v>312.57</v>
      </c>
      <c r="Y61" s="6">
        <v>10.131881934268369</v>
      </c>
      <c r="Z61" t="str">
        <v>normal</v>
      </c>
      <c r="AA61" s="5">
        <v>19.151251360174104</v>
      </c>
      <c r="AB61" s="6">
        <v>44</v>
      </c>
      <c r="AC61" s="6">
        <v>92.631578947368425</v>
      </c>
      <c r="AD61">
        <v>321.76</v>
      </c>
    </row>
    <row r="62" spans="1:30" x14ac:dyDescent="0.2">
      <c r="A62" s="1" t="s">
        <v>32</v>
      </c>
      <c r="B62" s="1" t="s">
        <v>113</v>
      </c>
      <c r="C62">
        <v>17.03</v>
      </c>
      <c r="D62">
        <v>16</v>
      </c>
      <c r="E62">
        <v>380</v>
      </c>
      <c r="F62">
        <v>8864.08</v>
      </c>
      <c r="G62" s="1" t="s">
        <v>34</v>
      </c>
      <c r="H62">
        <v>41</v>
      </c>
      <c r="I62">
        <v>27</v>
      </c>
      <c r="J62">
        <v>72</v>
      </c>
      <c r="K62">
        <v>8</v>
      </c>
      <c r="L62" s="1" t="s">
        <v>42</v>
      </c>
      <c r="M62">
        <v>4.38</v>
      </c>
      <c r="N62" s="1" t="s">
        <v>51</v>
      </c>
      <c r="O62" s="1" t="s">
        <v>28</v>
      </c>
      <c r="P62">
        <v>29</v>
      </c>
      <c r="Q62">
        <v>929</v>
      </c>
      <c r="R62">
        <v>24</v>
      </c>
      <c r="S62">
        <v>87.21</v>
      </c>
      <c r="T62" s="1" t="s">
        <v>45</v>
      </c>
      <c r="U62">
        <v>2.85</v>
      </c>
      <c r="V62" s="1" t="s">
        <v>46</v>
      </c>
      <c r="W62" s="1" t="s">
        <v>47</v>
      </c>
      <c r="X62">
        <v>430.17</v>
      </c>
      <c r="Y62" s="6">
        <v>7.9547833368222731</v>
      </c>
      <c r="Z62" t="str">
        <v>normal</v>
      </c>
      <c r="AA62" s="5">
        <v>10.143028714925212</v>
      </c>
      <c r="AB62" s="6">
        <v>38.708333333333336</v>
      </c>
      <c r="AC62" s="6">
        <v>10.652448113748424</v>
      </c>
      <c r="AD62">
        <v>521.76</v>
      </c>
    </row>
    <row r="63" spans="1:30" x14ac:dyDescent="0.2">
      <c r="A63" s="1" t="s">
        <v>23</v>
      </c>
      <c r="B63" s="1" t="s">
        <v>114</v>
      </c>
      <c r="C63">
        <v>52.03</v>
      </c>
      <c r="D63">
        <v>23</v>
      </c>
      <c r="E63">
        <v>117</v>
      </c>
      <c r="F63">
        <v>6885.59</v>
      </c>
      <c r="G63" s="1" t="s">
        <v>37</v>
      </c>
      <c r="H63">
        <v>32</v>
      </c>
      <c r="I63">
        <v>23</v>
      </c>
      <c r="J63">
        <v>36</v>
      </c>
      <c r="K63">
        <v>7</v>
      </c>
      <c r="L63" s="1" t="s">
        <v>42</v>
      </c>
      <c r="M63">
        <v>9.0299999999999994</v>
      </c>
      <c r="N63" s="1" t="s">
        <v>51</v>
      </c>
      <c r="O63" s="1" t="s">
        <v>44</v>
      </c>
      <c r="P63">
        <v>14</v>
      </c>
      <c r="Q63">
        <v>480</v>
      </c>
      <c r="R63">
        <v>12</v>
      </c>
      <c r="S63">
        <v>78.7</v>
      </c>
      <c r="T63" s="1" t="s">
        <v>45</v>
      </c>
      <c r="U63">
        <v>4.37</v>
      </c>
      <c r="V63" s="1" t="s">
        <v>39</v>
      </c>
      <c r="W63" s="1" t="s">
        <v>47</v>
      </c>
      <c r="X63">
        <v>164.37</v>
      </c>
      <c r="Y63" s="6">
        <v>2.4492359221268578</v>
      </c>
      <c r="Z63" t="str">
        <v>normal</v>
      </c>
      <c r="AA63" s="5">
        <v>5.4713324974353128</v>
      </c>
      <c r="AB63" s="6">
        <v>40</v>
      </c>
      <c r="AC63" s="6">
        <v>6.099110546378653</v>
      </c>
      <c r="AD63">
        <v>252.10000000000002</v>
      </c>
    </row>
    <row r="64" spans="1:30" x14ac:dyDescent="0.2">
      <c r="A64" s="1" t="s">
        <v>56</v>
      </c>
      <c r="B64" s="1" t="s">
        <v>115</v>
      </c>
      <c r="C64">
        <v>72.8</v>
      </c>
      <c r="D64">
        <v>89</v>
      </c>
      <c r="E64">
        <v>270</v>
      </c>
      <c r="F64">
        <v>3899.75</v>
      </c>
      <c r="G64" s="1" t="s">
        <v>37</v>
      </c>
      <c r="H64">
        <v>86</v>
      </c>
      <c r="I64">
        <v>2</v>
      </c>
      <c r="J64">
        <v>40</v>
      </c>
      <c r="K64">
        <v>7</v>
      </c>
      <c r="L64" s="1" t="s">
        <v>42</v>
      </c>
      <c r="M64">
        <v>7.29</v>
      </c>
      <c r="N64" s="1" t="s">
        <v>60</v>
      </c>
      <c r="O64" s="1" t="s">
        <v>28</v>
      </c>
      <c r="P64">
        <v>13</v>
      </c>
      <c r="Q64">
        <v>751</v>
      </c>
      <c r="R64">
        <v>14</v>
      </c>
      <c r="S64">
        <v>21.05</v>
      </c>
      <c r="T64" s="1" t="s">
        <v>63</v>
      </c>
      <c r="U64">
        <v>1.87</v>
      </c>
      <c r="V64" s="1" t="s">
        <v>55</v>
      </c>
      <c r="W64" s="1" t="s">
        <v>40</v>
      </c>
      <c r="X64">
        <v>320.85000000000002</v>
      </c>
      <c r="Y64" s="6">
        <v>5.6520828972158252</v>
      </c>
      <c r="Z64" t="str">
        <v>normal</v>
      </c>
      <c r="AA64" s="5">
        <v>26.499647141848978</v>
      </c>
      <c r="AB64" s="6">
        <v>53.642857142857146</v>
      </c>
      <c r="AC64" s="6">
        <v>35.676959619952491</v>
      </c>
      <c r="AD64">
        <v>349.19</v>
      </c>
    </row>
    <row r="65" spans="1:30" x14ac:dyDescent="0.2">
      <c r="A65" s="1" t="s">
        <v>32</v>
      </c>
      <c r="B65" s="1" t="s">
        <v>116</v>
      </c>
      <c r="C65">
        <v>13.02</v>
      </c>
      <c r="D65">
        <v>55</v>
      </c>
      <c r="E65">
        <v>246</v>
      </c>
      <c r="F65">
        <v>4256.95</v>
      </c>
      <c r="G65" s="1" t="s">
        <v>25</v>
      </c>
      <c r="H65">
        <v>54</v>
      </c>
      <c r="I65">
        <v>19</v>
      </c>
      <c r="J65">
        <v>10</v>
      </c>
      <c r="K65">
        <v>4</v>
      </c>
      <c r="L65" s="1" t="s">
        <v>35</v>
      </c>
      <c r="M65">
        <v>2.46</v>
      </c>
      <c r="N65" s="1" t="s">
        <v>27</v>
      </c>
      <c r="O65" s="1" t="s">
        <v>52</v>
      </c>
      <c r="P65">
        <v>18</v>
      </c>
      <c r="Q65">
        <v>736</v>
      </c>
      <c r="R65">
        <v>10</v>
      </c>
      <c r="S65">
        <v>20.079999999999998</v>
      </c>
      <c r="T65" s="1" t="s">
        <v>29</v>
      </c>
      <c r="U65">
        <v>3.63</v>
      </c>
      <c r="V65" s="1" t="s">
        <v>55</v>
      </c>
      <c r="W65" s="1" t="s">
        <v>47</v>
      </c>
      <c r="X65">
        <v>687.29</v>
      </c>
      <c r="Y65" s="6">
        <v>5.1496755285744191</v>
      </c>
      <c r="Z65" t="str">
        <v>normal</v>
      </c>
      <c r="AA65" s="5">
        <v>32.653061224489797</v>
      </c>
      <c r="AB65" s="6">
        <v>73.599999999999994</v>
      </c>
      <c r="AC65" s="6">
        <v>36.65338645418327</v>
      </c>
      <c r="AD65">
        <v>709.82999999999993</v>
      </c>
    </row>
    <row r="66" spans="1:30" x14ac:dyDescent="0.2">
      <c r="A66" s="1" t="s">
        <v>32</v>
      </c>
      <c r="B66" s="1" t="s">
        <v>117</v>
      </c>
      <c r="C66">
        <v>89.63</v>
      </c>
      <c r="D66">
        <v>11</v>
      </c>
      <c r="E66">
        <v>134</v>
      </c>
      <c r="F66">
        <v>8458.73</v>
      </c>
      <c r="G66" s="1" t="s">
        <v>34</v>
      </c>
      <c r="H66">
        <v>73</v>
      </c>
      <c r="I66">
        <v>27</v>
      </c>
      <c r="J66">
        <v>75</v>
      </c>
      <c r="K66">
        <v>6</v>
      </c>
      <c r="L66" s="1" t="s">
        <v>42</v>
      </c>
      <c r="M66">
        <v>4.59</v>
      </c>
      <c r="N66" s="1" t="s">
        <v>38</v>
      </c>
      <c r="O66" s="1" t="s">
        <v>49</v>
      </c>
      <c r="P66">
        <v>17</v>
      </c>
      <c r="Q66">
        <v>328</v>
      </c>
      <c r="R66">
        <v>6</v>
      </c>
      <c r="S66">
        <v>8.69</v>
      </c>
      <c r="T66" s="1" t="s">
        <v>45</v>
      </c>
      <c r="U66">
        <v>0.16</v>
      </c>
      <c r="V66" s="1" t="s">
        <v>39</v>
      </c>
      <c r="W66" s="1" t="s">
        <v>40</v>
      </c>
      <c r="X66">
        <v>771.23</v>
      </c>
      <c r="Y66" s="6">
        <v>2.805107808247854</v>
      </c>
      <c r="Z66" t="str">
        <v>normal</v>
      </c>
      <c r="AA66" s="5">
        <v>24.698795180722893</v>
      </c>
      <c r="AB66" s="6">
        <v>54.666666666666664</v>
      </c>
      <c r="AC66" s="6">
        <v>37.744533947065598</v>
      </c>
      <c r="AD66">
        <v>784.51</v>
      </c>
    </row>
    <row r="67" spans="1:30" x14ac:dyDescent="0.2">
      <c r="A67" s="1" t="s">
        <v>32</v>
      </c>
      <c r="B67" s="1" t="s">
        <v>118</v>
      </c>
      <c r="C67">
        <v>33.700000000000003</v>
      </c>
      <c r="D67">
        <v>72</v>
      </c>
      <c r="E67">
        <v>457</v>
      </c>
      <c r="F67">
        <v>8354.58</v>
      </c>
      <c r="G67" s="1" t="s">
        <v>54</v>
      </c>
      <c r="H67">
        <v>57</v>
      </c>
      <c r="I67">
        <v>24</v>
      </c>
      <c r="J67">
        <v>54</v>
      </c>
      <c r="K67">
        <v>8</v>
      </c>
      <c r="L67" s="1" t="s">
        <v>42</v>
      </c>
      <c r="M67">
        <v>6.58</v>
      </c>
      <c r="N67" s="1" t="s">
        <v>43</v>
      </c>
      <c r="O67" s="1" t="s">
        <v>44</v>
      </c>
      <c r="P67">
        <v>16</v>
      </c>
      <c r="Q67">
        <v>358</v>
      </c>
      <c r="R67">
        <v>21</v>
      </c>
      <c r="S67">
        <v>1.6</v>
      </c>
      <c r="T67" s="1" t="s">
        <v>45</v>
      </c>
      <c r="U67">
        <v>4.91</v>
      </c>
      <c r="V67" s="1" t="s">
        <v>46</v>
      </c>
      <c r="W67" s="1" t="s">
        <v>40</v>
      </c>
      <c r="X67">
        <v>555.86</v>
      </c>
      <c r="Y67" s="6">
        <v>9.5666736445467855</v>
      </c>
      <c r="Z67" t="str">
        <v>normal</v>
      </c>
      <c r="AA67" s="5">
        <v>43.765281173594133</v>
      </c>
      <c r="AB67" s="6">
        <v>17.047619047619047</v>
      </c>
      <c r="AC67" s="6">
        <v>223.75</v>
      </c>
      <c r="AD67">
        <v>564.04</v>
      </c>
    </row>
    <row r="68" spans="1:30" x14ac:dyDescent="0.2">
      <c r="A68" s="1" t="s">
        <v>32</v>
      </c>
      <c r="B68" s="1" t="s">
        <v>119</v>
      </c>
      <c r="C68">
        <v>26.03</v>
      </c>
      <c r="D68">
        <v>52</v>
      </c>
      <c r="E68">
        <v>704</v>
      </c>
      <c r="F68">
        <v>8367.7199999999993</v>
      </c>
      <c r="G68" s="1" t="s">
        <v>34</v>
      </c>
      <c r="H68">
        <v>13</v>
      </c>
      <c r="I68">
        <v>17</v>
      </c>
      <c r="J68">
        <v>19</v>
      </c>
      <c r="K68">
        <v>8</v>
      </c>
      <c r="L68" s="1" t="s">
        <v>35</v>
      </c>
      <c r="M68">
        <v>2.2200000000000002</v>
      </c>
      <c r="N68" s="1" t="s">
        <v>43</v>
      </c>
      <c r="O68" s="1" t="s">
        <v>44</v>
      </c>
      <c r="P68">
        <v>24</v>
      </c>
      <c r="Q68">
        <v>867</v>
      </c>
      <c r="R68">
        <v>28</v>
      </c>
      <c r="S68">
        <v>42.08</v>
      </c>
      <c r="T68" s="1" t="s">
        <v>45</v>
      </c>
      <c r="U68">
        <v>3.45</v>
      </c>
      <c r="V68" s="1" t="s">
        <v>30</v>
      </c>
      <c r="W68" s="1" t="s">
        <v>47</v>
      </c>
      <c r="X68">
        <v>393.84</v>
      </c>
      <c r="Y68" s="6">
        <v>14.737282813481263</v>
      </c>
      <c r="Z68" t="str">
        <v>normal</v>
      </c>
      <c r="AA68" s="5">
        <v>19.571106094808126</v>
      </c>
      <c r="AB68" s="6">
        <v>30.964285714285715</v>
      </c>
      <c r="AC68" s="6">
        <v>20.60361216730038</v>
      </c>
      <c r="AD68">
        <v>438.14</v>
      </c>
    </row>
    <row r="69" spans="1:30" x14ac:dyDescent="0.2">
      <c r="A69" s="1" t="s">
        <v>32</v>
      </c>
      <c r="B69" s="1" t="s">
        <v>120</v>
      </c>
      <c r="C69">
        <v>87.76</v>
      </c>
      <c r="D69">
        <v>16</v>
      </c>
      <c r="E69">
        <v>513</v>
      </c>
      <c r="F69">
        <v>9473.7999999999993</v>
      </c>
      <c r="G69" s="1" t="s">
        <v>37</v>
      </c>
      <c r="H69">
        <v>12</v>
      </c>
      <c r="I69">
        <v>9</v>
      </c>
      <c r="J69">
        <v>71</v>
      </c>
      <c r="K69">
        <v>9</v>
      </c>
      <c r="L69" s="1" t="s">
        <v>42</v>
      </c>
      <c r="M69">
        <v>9.15</v>
      </c>
      <c r="N69" s="1" t="s">
        <v>38</v>
      </c>
      <c r="O69" s="1" t="s">
        <v>28</v>
      </c>
      <c r="P69">
        <v>10</v>
      </c>
      <c r="Q69">
        <v>198</v>
      </c>
      <c r="R69">
        <v>11</v>
      </c>
      <c r="S69">
        <v>7.06</v>
      </c>
      <c r="T69" s="1" t="s">
        <v>63</v>
      </c>
      <c r="U69">
        <v>0.13</v>
      </c>
      <c r="V69" s="1" t="s">
        <v>55</v>
      </c>
      <c r="W69" s="1" t="s">
        <v>40</v>
      </c>
      <c r="X69">
        <v>169.27</v>
      </c>
      <c r="Y69" s="6">
        <v>10.738957504710068</v>
      </c>
      <c r="Z69" t="str">
        <v>normal</v>
      </c>
      <c r="AA69" s="5">
        <v>12.214682294879703</v>
      </c>
      <c r="AB69" s="6">
        <v>18</v>
      </c>
      <c r="AC69" s="6">
        <v>28.04532577903683</v>
      </c>
      <c r="AD69">
        <v>185.48000000000002</v>
      </c>
    </row>
    <row r="70" spans="1:30" x14ac:dyDescent="0.2">
      <c r="A70" s="1" t="s">
        <v>23</v>
      </c>
      <c r="B70" s="1" t="s">
        <v>121</v>
      </c>
      <c r="C70">
        <v>37.93</v>
      </c>
      <c r="D70">
        <v>29</v>
      </c>
      <c r="E70">
        <v>163</v>
      </c>
      <c r="F70">
        <v>3550.22</v>
      </c>
      <c r="G70" s="1" t="s">
        <v>25</v>
      </c>
      <c r="H70">
        <v>0</v>
      </c>
      <c r="I70">
        <v>8</v>
      </c>
      <c r="J70">
        <v>58</v>
      </c>
      <c r="K70">
        <v>8</v>
      </c>
      <c r="L70" s="1" t="s">
        <v>26</v>
      </c>
      <c r="M70">
        <v>1.19</v>
      </c>
      <c r="N70" s="1" t="s">
        <v>60</v>
      </c>
      <c r="O70" s="1" t="s">
        <v>52</v>
      </c>
      <c r="P70">
        <v>2</v>
      </c>
      <c r="Q70">
        <v>375</v>
      </c>
      <c r="R70">
        <v>18</v>
      </c>
      <c r="S70">
        <v>97.11</v>
      </c>
      <c r="T70" s="1" t="s">
        <v>45</v>
      </c>
      <c r="U70">
        <v>1.98</v>
      </c>
      <c r="V70" s="1" t="s">
        <v>46</v>
      </c>
      <c r="W70" s="1" t="s">
        <v>47</v>
      </c>
      <c r="X70">
        <v>299.70999999999998</v>
      </c>
      <c r="Y70" s="6">
        <v>3.4121833786895537</v>
      </c>
      <c r="Z70" t="str">
        <v>normal</v>
      </c>
      <c r="AA70" s="5">
        <v>3.8148524923702953</v>
      </c>
      <c r="AB70" s="6">
        <v>20.833333333333332</v>
      </c>
      <c r="AC70" s="6">
        <v>3.861600247142416</v>
      </c>
      <c r="AD70">
        <v>398.01</v>
      </c>
    </row>
    <row r="71" spans="1:30" x14ac:dyDescent="0.2">
      <c r="A71" s="1" t="s">
        <v>32</v>
      </c>
      <c r="B71" s="1" t="s">
        <v>122</v>
      </c>
      <c r="C71">
        <v>54.87</v>
      </c>
      <c r="D71">
        <v>62</v>
      </c>
      <c r="E71">
        <v>511</v>
      </c>
      <c r="F71">
        <v>1752.38</v>
      </c>
      <c r="G71" s="1" t="s">
        <v>25</v>
      </c>
      <c r="H71">
        <v>95</v>
      </c>
      <c r="I71">
        <v>1</v>
      </c>
      <c r="J71">
        <v>27</v>
      </c>
      <c r="K71">
        <v>3</v>
      </c>
      <c r="L71" s="1" t="s">
        <v>26</v>
      </c>
      <c r="M71">
        <v>9.7100000000000009</v>
      </c>
      <c r="N71" s="1" t="s">
        <v>51</v>
      </c>
      <c r="O71" s="1" t="s">
        <v>44</v>
      </c>
      <c r="P71">
        <v>9</v>
      </c>
      <c r="Q71">
        <v>862</v>
      </c>
      <c r="R71">
        <v>7</v>
      </c>
      <c r="S71">
        <v>77.63</v>
      </c>
      <c r="T71" s="1" t="s">
        <v>29</v>
      </c>
      <c r="U71">
        <v>1.36</v>
      </c>
      <c r="V71" s="1" t="s">
        <v>39</v>
      </c>
      <c r="W71" s="1" t="s">
        <v>47</v>
      </c>
      <c r="X71">
        <v>207.66</v>
      </c>
      <c r="Y71" s="6">
        <v>10.697090223989951</v>
      </c>
      <c r="Z71" t="str">
        <v>normal</v>
      </c>
      <c r="AA71" s="5">
        <v>9.8694756125486602</v>
      </c>
      <c r="AB71" s="6">
        <v>123.14285714285714</v>
      </c>
      <c r="AC71" s="6">
        <v>11.103954656704882</v>
      </c>
      <c r="AD71">
        <v>295</v>
      </c>
    </row>
    <row r="72" spans="1:30" x14ac:dyDescent="0.2">
      <c r="A72" s="1" t="s">
        <v>23</v>
      </c>
      <c r="B72" s="1" t="s">
        <v>123</v>
      </c>
      <c r="C72">
        <v>47.91</v>
      </c>
      <c r="D72">
        <v>90</v>
      </c>
      <c r="E72">
        <v>32</v>
      </c>
      <c r="F72">
        <v>7014.89</v>
      </c>
      <c r="G72" s="1" t="s">
        <v>34</v>
      </c>
      <c r="H72">
        <v>10</v>
      </c>
      <c r="I72">
        <v>12</v>
      </c>
      <c r="J72">
        <v>22</v>
      </c>
      <c r="K72">
        <v>4</v>
      </c>
      <c r="L72" s="1" t="s">
        <v>26</v>
      </c>
      <c r="M72">
        <v>6.32</v>
      </c>
      <c r="N72" s="1" t="s">
        <v>38</v>
      </c>
      <c r="O72" s="1" t="s">
        <v>52</v>
      </c>
      <c r="P72">
        <v>22</v>
      </c>
      <c r="Q72">
        <v>775</v>
      </c>
      <c r="R72">
        <v>16</v>
      </c>
      <c r="S72">
        <v>11.44</v>
      </c>
      <c r="T72" s="1" t="s">
        <v>63</v>
      </c>
      <c r="U72">
        <v>1.83</v>
      </c>
      <c r="V72" s="1" t="s">
        <v>30</v>
      </c>
      <c r="W72" s="1" t="s">
        <v>40</v>
      </c>
      <c r="X72">
        <v>183.27</v>
      </c>
      <c r="Y72" s="6">
        <v>0.66987649152187556</v>
      </c>
      <c r="Z72" t="str">
        <v>normal</v>
      </c>
      <c r="AA72" s="5">
        <v>43.637387387387392</v>
      </c>
      <c r="AB72" s="6">
        <v>48.4375</v>
      </c>
      <c r="AC72" s="6">
        <v>67.744755244755254</v>
      </c>
      <c r="AD72">
        <v>201.03</v>
      </c>
    </row>
    <row r="73" spans="1:30" x14ac:dyDescent="0.2">
      <c r="A73" s="1" t="s">
        <v>56</v>
      </c>
      <c r="B73" s="1" t="s">
        <v>124</v>
      </c>
      <c r="C73">
        <v>6.38</v>
      </c>
      <c r="D73">
        <v>14</v>
      </c>
      <c r="E73">
        <v>637</v>
      </c>
      <c r="F73">
        <v>8180.34</v>
      </c>
      <c r="G73" s="1" t="s">
        <v>34</v>
      </c>
      <c r="H73">
        <v>76</v>
      </c>
      <c r="I73">
        <v>2</v>
      </c>
      <c r="J73">
        <v>26</v>
      </c>
      <c r="K73">
        <v>6</v>
      </c>
      <c r="L73" s="1" t="s">
        <v>35</v>
      </c>
      <c r="M73">
        <v>9.23</v>
      </c>
      <c r="N73" s="1" t="s">
        <v>60</v>
      </c>
      <c r="O73" s="1" t="s">
        <v>52</v>
      </c>
      <c r="P73">
        <v>2</v>
      </c>
      <c r="Q73">
        <v>258</v>
      </c>
      <c r="R73">
        <v>10</v>
      </c>
      <c r="S73">
        <v>30.66</v>
      </c>
      <c r="T73" s="1" t="s">
        <v>29</v>
      </c>
      <c r="U73">
        <v>2.08</v>
      </c>
      <c r="V73" s="1" t="s">
        <v>30</v>
      </c>
      <c r="W73" s="1" t="s">
        <v>47</v>
      </c>
      <c r="X73">
        <v>405.17</v>
      </c>
      <c r="Y73" s="6">
        <v>13.334728909357336</v>
      </c>
      <c r="Z73" t="str">
        <v>normal</v>
      </c>
      <c r="AA73" s="5">
        <v>6.4677864126347453</v>
      </c>
      <c r="AB73" s="6">
        <v>25.8</v>
      </c>
      <c r="AC73" s="6">
        <v>8.4148727984344429</v>
      </c>
      <c r="AD73">
        <v>445.06</v>
      </c>
    </row>
    <row r="74" spans="1:30" x14ac:dyDescent="0.2">
      <c r="A74" s="1" t="s">
        <v>56</v>
      </c>
      <c r="B74" s="1" t="s">
        <v>125</v>
      </c>
      <c r="C74">
        <v>90.2</v>
      </c>
      <c r="D74">
        <v>88</v>
      </c>
      <c r="E74">
        <v>478</v>
      </c>
      <c r="F74">
        <v>2633.12</v>
      </c>
      <c r="G74" s="1" t="s">
        <v>25</v>
      </c>
      <c r="H74">
        <v>57</v>
      </c>
      <c r="I74">
        <v>29</v>
      </c>
      <c r="J74">
        <v>77</v>
      </c>
      <c r="K74">
        <v>9</v>
      </c>
      <c r="L74" s="1" t="s">
        <v>35</v>
      </c>
      <c r="M74">
        <v>6.6</v>
      </c>
      <c r="N74" s="1" t="s">
        <v>38</v>
      </c>
      <c r="O74" s="1" t="s">
        <v>52</v>
      </c>
      <c r="P74">
        <v>21</v>
      </c>
      <c r="Q74">
        <v>152</v>
      </c>
      <c r="R74">
        <v>11</v>
      </c>
      <c r="S74">
        <v>55.76</v>
      </c>
      <c r="T74" s="1" t="s">
        <v>29</v>
      </c>
      <c r="U74">
        <v>3.21</v>
      </c>
      <c r="V74" s="1" t="s">
        <v>46</v>
      </c>
      <c r="W74" s="1" t="s">
        <v>31</v>
      </c>
      <c r="X74">
        <v>677.94</v>
      </c>
      <c r="Y74" s="6">
        <v>10.006280092108017</v>
      </c>
      <c r="Z74" t="str">
        <v>normal</v>
      </c>
      <c r="AA74" s="5">
        <v>2.4374599101988452</v>
      </c>
      <c r="AB74" s="6">
        <v>13.818181818181818</v>
      </c>
      <c r="AC74" s="6">
        <v>2.7259684361549499</v>
      </c>
      <c r="AD74">
        <v>740.30000000000007</v>
      </c>
    </row>
    <row r="75" spans="1:30" x14ac:dyDescent="0.2">
      <c r="A75" s="1" t="s">
        <v>56</v>
      </c>
      <c r="B75" s="1" t="s">
        <v>126</v>
      </c>
      <c r="C75">
        <v>83.85</v>
      </c>
      <c r="D75">
        <v>41</v>
      </c>
      <c r="E75">
        <v>375</v>
      </c>
      <c r="F75">
        <v>7910.89</v>
      </c>
      <c r="G75" s="1" t="s">
        <v>54</v>
      </c>
      <c r="H75">
        <v>17</v>
      </c>
      <c r="I75">
        <v>25</v>
      </c>
      <c r="J75">
        <v>66</v>
      </c>
      <c r="K75">
        <v>5</v>
      </c>
      <c r="L75" s="1" t="s">
        <v>26</v>
      </c>
      <c r="M75">
        <v>1.51</v>
      </c>
      <c r="N75" s="1" t="s">
        <v>51</v>
      </c>
      <c r="O75" s="1" t="s">
        <v>61</v>
      </c>
      <c r="P75">
        <v>13</v>
      </c>
      <c r="Q75">
        <v>444</v>
      </c>
      <c r="R75">
        <v>4</v>
      </c>
      <c r="S75">
        <v>46.87</v>
      </c>
      <c r="T75" s="1" t="s">
        <v>45</v>
      </c>
      <c r="U75">
        <v>4.62</v>
      </c>
      <c r="V75" s="1" t="s">
        <v>30</v>
      </c>
      <c r="W75" s="1" t="s">
        <v>47</v>
      </c>
      <c r="X75">
        <v>866.47</v>
      </c>
      <c r="Y75" s="6">
        <v>7.85011513502198</v>
      </c>
      <c r="Z75" t="str">
        <v>normal</v>
      </c>
      <c r="AA75" s="5">
        <v>9.1773460107482432</v>
      </c>
      <c r="AB75" s="6">
        <v>111</v>
      </c>
      <c r="AC75" s="6">
        <v>9.4730104544484757</v>
      </c>
      <c r="AD75">
        <v>914.85</v>
      </c>
    </row>
    <row r="76" spans="1:30" x14ac:dyDescent="0.2">
      <c r="A76" s="1" t="s">
        <v>23</v>
      </c>
      <c r="B76" s="1" t="s">
        <v>127</v>
      </c>
      <c r="C76">
        <v>3.17</v>
      </c>
      <c r="D76">
        <v>64</v>
      </c>
      <c r="E76">
        <v>904</v>
      </c>
      <c r="F76">
        <v>5709.95</v>
      </c>
      <c r="G76" s="1" t="s">
        <v>34</v>
      </c>
      <c r="H76">
        <v>41</v>
      </c>
      <c r="I76">
        <v>6</v>
      </c>
      <c r="J76">
        <v>1</v>
      </c>
      <c r="K76">
        <v>5</v>
      </c>
      <c r="L76" s="1" t="s">
        <v>35</v>
      </c>
      <c r="M76">
        <v>5.24</v>
      </c>
      <c r="N76" s="1" t="s">
        <v>51</v>
      </c>
      <c r="O76" s="1" t="s">
        <v>49</v>
      </c>
      <c r="P76">
        <v>1</v>
      </c>
      <c r="Q76">
        <v>919</v>
      </c>
      <c r="R76">
        <v>9</v>
      </c>
      <c r="S76">
        <v>80.58</v>
      </c>
      <c r="T76" s="1" t="s">
        <v>45</v>
      </c>
      <c r="U76">
        <v>0.4</v>
      </c>
      <c r="V76" s="1" t="s">
        <v>46</v>
      </c>
      <c r="W76" s="1" t="s">
        <v>47</v>
      </c>
      <c r="X76">
        <v>341.55</v>
      </c>
      <c r="Y76" s="6">
        <v>18.924010885492986</v>
      </c>
      <c r="Z76" t="str">
        <v>normal</v>
      </c>
      <c r="AA76" s="5">
        <v>10.708459566534609</v>
      </c>
      <c r="AB76" s="6">
        <v>102.11111111111111</v>
      </c>
      <c r="AC76" s="6">
        <v>11.4048150905932</v>
      </c>
      <c r="AD76">
        <v>427.37</v>
      </c>
    </row>
    <row r="77" spans="1:30" x14ac:dyDescent="0.2">
      <c r="A77" s="1" t="s">
        <v>32</v>
      </c>
      <c r="B77" s="1" t="s">
        <v>128</v>
      </c>
      <c r="C77">
        <v>93</v>
      </c>
      <c r="D77">
        <v>29</v>
      </c>
      <c r="E77">
        <v>106</v>
      </c>
      <c r="F77">
        <v>1889.07</v>
      </c>
      <c r="G77" s="1" t="s">
        <v>25</v>
      </c>
      <c r="H77">
        <v>16</v>
      </c>
      <c r="I77">
        <v>20</v>
      </c>
      <c r="J77">
        <v>56</v>
      </c>
      <c r="K77">
        <v>10</v>
      </c>
      <c r="L77" s="1" t="s">
        <v>42</v>
      </c>
      <c r="M77">
        <v>2.4700000000000002</v>
      </c>
      <c r="N77" s="1" t="s">
        <v>38</v>
      </c>
      <c r="O77" s="1" t="s">
        <v>61</v>
      </c>
      <c r="P77">
        <v>25</v>
      </c>
      <c r="Q77">
        <v>759</v>
      </c>
      <c r="R77">
        <v>11</v>
      </c>
      <c r="S77">
        <v>48.06</v>
      </c>
      <c r="T77" s="1" t="s">
        <v>63</v>
      </c>
      <c r="U77">
        <v>2.0299999999999998</v>
      </c>
      <c r="V77" s="1" t="s">
        <v>39</v>
      </c>
      <c r="W77" s="1" t="s">
        <v>40</v>
      </c>
      <c r="X77">
        <v>873.13</v>
      </c>
      <c r="Y77" s="6">
        <v>2.2189658781662129</v>
      </c>
      <c r="Z77" t="str">
        <v>normal</v>
      </c>
      <c r="AA77" s="5">
        <v>15.020779734811002</v>
      </c>
      <c r="AB77" s="6">
        <v>69</v>
      </c>
      <c r="AC77" s="6">
        <v>15.792759051186017</v>
      </c>
      <c r="AD77">
        <v>923.66</v>
      </c>
    </row>
    <row r="78" spans="1:30" x14ac:dyDescent="0.2">
      <c r="A78" s="1" t="s">
        <v>23</v>
      </c>
      <c r="B78" s="1" t="s">
        <v>129</v>
      </c>
      <c r="C78">
        <v>69.11</v>
      </c>
      <c r="D78">
        <v>23</v>
      </c>
      <c r="E78">
        <v>241</v>
      </c>
      <c r="F78">
        <v>5328.38</v>
      </c>
      <c r="G78" s="1" t="s">
        <v>54</v>
      </c>
      <c r="H78">
        <v>38</v>
      </c>
      <c r="I78">
        <v>1</v>
      </c>
      <c r="J78">
        <v>22</v>
      </c>
      <c r="K78">
        <v>10</v>
      </c>
      <c r="L78" s="1" t="s">
        <v>35</v>
      </c>
      <c r="M78">
        <v>7.05</v>
      </c>
      <c r="N78" s="1" t="s">
        <v>60</v>
      </c>
      <c r="O78" s="1" t="s">
        <v>52</v>
      </c>
      <c r="P78">
        <v>25</v>
      </c>
      <c r="Q78">
        <v>985</v>
      </c>
      <c r="R78">
        <v>24</v>
      </c>
      <c r="S78">
        <v>64.319999999999993</v>
      </c>
      <c r="T78" s="1" t="s">
        <v>29</v>
      </c>
      <c r="U78">
        <v>2.1800000000000002</v>
      </c>
      <c r="V78" s="1" t="s">
        <v>46</v>
      </c>
      <c r="W78" s="1" t="s">
        <v>47</v>
      </c>
      <c r="X78">
        <v>997.41</v>
      </c>
      <c r="Y78" s="6">
        <v>5.045007326774126</v>
      </c>
      <c r="Z78" t="str">
        <v>normal</v>
      </c>
      <c r="AA78" s="5">
        <v>13.801317080005607</v>
      </c>
      <c r="AB78" s="6">
        <v>41.041666666666664</v>
      </c>
      <c r="AC78" s="6">
        <v>15.314054726368161</v>
      </c>
      <c r="AD78">
        <v>1068.78</v>
      </c>
    </row>
    <row r="79" spans="1:30" x14ac:dyDescent="0.2">
      <c r="A79" s="1" t="s">
        <v>23</v>
      </c>
      <c r="B79" s="1" t="s">
        <v>130</v>
      </c>
      <c r="C79">
        <v>57.45</v>
      </c>
      <c r="D79">
        <v>14</v>
      </c>
      <c r="E79">
        <v>359</v>
      </c>
      <c r="F79">
        <v>2483.7600000000002</v>
      </c>
      <c r="G79" s="1" t="s">
        <v>37</v>
      </c>
      <c r="H79">
        <v>96</v>
      </c>
      <c r="I79">
        <v>28</v>
      </c>
      <c r="J79">
        <v>57</v>
      </c>
      <c r="K79">
        <v>4</v>
      </c>
      <c r="L79" s="1" t="s">
        <v>26</v>
      </c>
      <c r="M79">
        <v>6.78</v>
      </c>
      <c r="N79" s="1" t="s">
        <v>38</v>
      </c>
      <c r="O79" s="1" t="s">
        <v>44</v>
      </c>
      <c r="P79">
        <v>26</v>
      </c>
      <c r="Q79">
        <v>334</v>
      </c>
      <c r="R79">
        <v>5</v>
      </c>
      <c r="S79">
        <v>42.95</v>
      </c>
      <c r="T79" s="1" t="s">
        <v>63</v>
      </c>
      <c r="U79">
        <v>3.06</v>
      </c>
      <c r="V79" s="1" t="s">
        <v>30</v>
      </c>
      <c r="W79" s="1" t="s">
        <v>31</v>
      </c>
      <c r="X79">
        <v>852.57</v>
      </c>
      <c r="Y79" s="6">
        <v>7.515176889261042</v>
      </c>
      <c r="Z79" t="str">
        <v>normal</v>
      </c>
      <c r="AA79" s="5">
        <v>6.7162678463703998</v>
      </c>
      <c r="AB79" s="6">
        <v>66.8</v>
      </c>
      <c r="AC79" s="6">
        <v>7.7764842840512216</v>
      </c>
      <c r="AD79">
        <v>902.30000000000007</v>
      </c>
    </row>
    <row r="80" spans="1:30" x14ac:dyDescent="0.2">
      <c r="A80" s="1" t="s">
        <v>23</v>
      </c>
      <c r="B80" s="1" t="s">
        <v>131</v>
      </c>
      <c r="C80">
        <v>6.31</v>
      </c>
      <c r="D80">
        <v>50</v>
      </c>
      <c r="E80">
        <v>946</v>
      </c>
      <c r="F80">
        <v>1292.46</v>
      </c>
      <c r="G80" s="1" t="s">
        <v>37</v>
      </c>
      <c r="H80">
        <v>5</v>
      </c>
      <c r="I80">
        <v>4</v>
      </c>
      <c r="J80">
        <v>51</v>
      </c>
      <c r="K80">
        <v>5</v>
      </c>
      <c r="L80" s="1" t="s">
        <v>26</v>
      </c>
      <c r="M80">
        <v>8.4700000000000006</v>
      </c>
      <c r="N80" s="1" t="s">
        <v>43</v>
      </c>
      <c r="O80" s="1" t="s">
        <v>28</v>
      </c>
      <c r="P80">
        <v>25</v>
      </c>
      <c r="Q80">
        <v>858</v>
      </c>
      <c r="R80">
        <v>21</v>
      </c>
      <c r="S80">
        <v>71.13</v>
      </c>
      <c r="T80" s="1" t="s">
        <v>29</v>
      </c>
      <c r="U80">
        <v>4.0999999999999996</v>
      </c>
      <c r="V80" s="1" t="s">
        <v>55</v>
      </c>
      <c r="W80" s="1" t="s">
        <v>40</v>
      </c>
      <c r="X80">
        <v>323.58999999999997</v>
      </c>
      <c r="Y80" s="6">
        <v>19.803223780615447</v>
      </c>
      <c r="Z80" t="str">
        <v>normal</v>
      </c>
      <c r="AA80" s="5">
        <v>10.778894472361809</v>
      </c>
      <c r="AB80" s="6">
        <v>40.857142857142854</v>
      </c>
      <c r="AC80" s="6">
        <v>12.062420919443273</v>
      </c>
      <c r="AD80">
        <v>403.18999999999994</v>
      </c>
    </row>
    <row r="81" spans="1:30" x14ac:dyDescent="0.2">
      <c r="A81" s="1" t="s">
        <v>23</v>
      </c>
      <c r="B81" s="1" t="s">
        <v>132</v>
      </c>
      <c r="C81">
        <v>57.06</v>
      </c>
      <c r="D81">
        <v>56</v>
      </c>
      <c r="E81">
        <v>198</v>
      </c>
      <c r="F81">
        <v>7888.72</v>
      </c>
      <c r="G81" s="1" t="s">
        <v>25</v>
      </c>
      <c r="H81">
        <v>31</v>
      </c>
      <c r="I81">
        <v>25</v>
      </c>
      <c r="J81">
        <v>20</v>
      </c>
      <c r="K81">
        <v>1</v>
      </c>
      <c r="L81" s="1" t="s">
        <v>26</v>
      </c>
      <c r="M81">
        <v>6.5</v>
      </c>
      <c r="N81" s="1" t="s">
        <v>27</v>
      </c>
      <c r="O81" s="1" t="s">
        <v>52</v>
      </c>
      <c r="P81">
        <v>5</v>
      </c>
      <c r="Q81">
        <v>228</v>
      </c>
      <c r="R81">
        <v>12</v>
      </c>
      <c r="S81">
        <v>57.87</v>
      </c>
      <c r="T81" s="1" t="s">
        <v>29</v>
      </c>
      <c r="U81">
        <v>0.17</v>
      </c>
      <c r="V81" s="1" t="s">
        <v>39</v>
      </c>
      <c r="W81" s="1" t="s">
        <v>40</v>
      </c>
      <c r="X81">
        <v>351.5</v>
      </c>
      <c r="Y81" s="6">
        <v>4.1448607912916051</v>
      </c>
      <c r="Z81" t="str">
        <v>normal</v>
      </c>
      <c r="AA81" s="5">
        <v>3.5420226813733104</v>
      </c>
      <c r="AB81" s="6">
        <v>19</v>
      </c>
      <c r="AC81" s="6">
        <v>3.939865215137377</v>
      </c>
      <c r="AD81">
        <v>415.87</v>
      </c>
    </row>
    <row r="82" spans="1:30" x14ac:dyDescent="0.2">
      <c r="A82" s="1" t="s">
        <v>32</v>
      </c>
      <c r="B82" s="1" t="s">
        <v>133</v>
      </c>
      <c r="C82">
        <v>91.13</v>
      </c>
      <c r="D82">
        <v>75</v>
      </c>
      <c r="E82">
        <v>872</v>
      </c>
      <c r="F82">
        <v>8651.67</v>
      </c>
      <c r="G82" s="1" t="s">
        <v>37</v>
      </c>
      <c r="H82">
        <v>39</v>
      </c>
      <c r="I82">
        <v>14</v>
      </c>
      <c r="J82">
        <v>41</v>
      </c>
      <c r="K82">
        <v>2</v>
      </c>
      <c r="L82" s="1" t="s">
        <v>42</v>
      </c>
      <c r="M82">
        <v>2.83</v>
      </c>
      <c r="N82" s="1" t="s">
        <v>27</v>
      </c>
      <c r="O82" s="1" t="s">
        <v>61</v>
      </c>
      <c r="P82">
        <v>8</v>
      </c>
      <c r="Q82">
        <v>202</v>
      </c>
      <c r="R82">
        <v>5</v>
      </c>
      <c r="S82">
        <v>76.959999999999994</v>
      </c>
      <c r="T82" s="1" t="s">
        <v>45</v>
      </c>
      <c r="U82">
        <v>2.85</v>
      </c>
      <c r="V82" s="1" t="s">
        <v>55</v>
      </c>
      <c r="W82" s="1" t="s">
        <v>31</v>
      </c>
      <c r="X82">
        <v>787.78</v>
      </c>
      <c r="Y82" s="6">
        <v>18.25413439397111</v>
      </c>
      <c r="Z82" t="str">
        <v>normal</v>
      </c>
      <c r="AA82" s="5">
        <v>2.5316455696202533</v>
      </c>
      <c r="AB82" s="6">
        <v>40.4</v>
      </c>
      <c r="AC82" s="6">
        <v>2.624740124740125</v>
      </c>
      <c r="AD82">
        <v>867.56999999999994</v>
      </c>
    </row>
    <row r="83" spans="1:30" x14ac:dyDescent="0.2">
      <c r="A83" s="1" t="s">
        <v>23</v>
      </c>
      <c r="B83" s="1" t="s">
        <v>134</v>
      </c>
      <c r="C83">
        <v>72.819999999999993</v>
      </c>
      <c r="D83">
        <v>9</v>
      </c>
      <c r="E83">
        <v>774</v>
      </c>
      <c r="F83">
        <v>4384.41</v>
      </c>
      <c r="G83" s="1" t="s">
        <v>37</v>
      </c>
      <c r="H83">
        <v>48</v>
      </c>
      <c r="I83">
        <v>6</v>
      </c>
      <c r="J83">
        <v>8</v>
      </c>
      <c r="K83">
        <v>5</v>
      </c>
      <c r="L83" s="1" t="s">
        <v>26</v>
      </c>
      <c r="M83">
        <v>4.07</v>
      </c>
      <c r="N83" s="1" t="s">
        <v>27</v>
      </c>
      <c r="O83" s="1" t="s">
        <v>49</v>
      </c>
      <c r="P83">
        <v>28</v>
      </c>
      <c r="Q83">
        <v>698</v>
      </c>
      <c r="R83">
        <v>1</v>
      </c>
      <c r="S83">
        <v>19.79</v>
      </c>
      <c r="T83" s="1" t="s">
        <v>29</v>
      </c>
      <c r="U83">
        <v>2.5499999999999998</v>
      </c>
      <c r="V83" s="1" t="s">
        <v>46</v>
      </c>
      <c r="W83" s="1" t="s">
        <v>31</v>
      </c>
      <c r="X83">
        <v>276.77999999999997</v>
      </c>
      <c r="Y83" s="6">
        <v>16.202637638685367</v>
      </c>
      <c r="Z83" t="str">
        <v>normal</v>
      </c>
      <c r="AA83" s="5">
        <v>29.253981559094719</v>
      </c>
      <c r="AB83" s="6">
        <v>698</v>
      </c>
      <c r="AC83" s="6">
        <v>35.27033855482567</v>
      </c>
      <c r="AD83">
        <v>300.64</v>
      </c>
    </row>
    <row r="84" spans="1:30" x14ac:dyDescent="0.2">
      <c r="A84" s="1" t="s">
        <v>32</v>
      </c>
      <c r="B84" s="1" t="s">
        <v>135</v>
      </c>
      <c r="C84">
        <v>17.03</v>
      </c>
      <c r="D84">
        <v>13</v>
      </c>
      <c r="E84">
        <v>336</v>
      </c>
      <c r="F84">
        <v>2943.38</v>
      </c>
      <c r="G84" s="1" t="s">
        <v>37</v>
      </c>
      <c r="H84">
        <v>42</v>
      </c>
      <c r="I84">
        <v>19</v>
      </c>
      <c r="J84">
        <v>72</v>
      </c>
      <c r="K84">
        <v>1</v>
      </c>
      <c r="L84" s="1" t="s">
        <v>35</v>
      </c>
      <c r="M84">
        <v>4.71</v>
      </c>
      <c r="N84" s="1" t="s">
        <v>60</v>
      </c>
      <c r="O84" s="1" t="s">
        <v>28</v>
      </c>
      <c r="P84">
        <v>6</v>
      </c>
      <c r="Q84">
        <v>955</v>
      </c>
      <c r="R84">
        <v>26</v>
      </c>
      <c r="S84">
        <v>4.47</v>
      </c>
      <c r="T84" s="1" t="s">
        <v>29</v>
      </c>
      <c r="U84">
        <v>4.1399999999999997</v>
      </c>
      <c r="V84" s="1" t="s">
        <v>30</v>
      </c>
      <c r="W84" s="1" t="s">
        <v>40</v>
      </c>
      <c r="X84">
        <v>589.98</v>
      </c>
      <c r="Y84" s="6">
        <v>7.0337031609796936</v>
      </c>
      <c r="Z84" t="str">
        <v>normal</v>
      </c>
      <c r="AA84" s="5">
        <v>104.03050108932462</v>
      </c>
      <c r="AB84" s="6">
        <v>36.730769230769234</v>
      </c>
      <c r="AC84" s="6">
        <v>213.64653243847877</v>
      </c>
      <c r="AD84">
        <v>599.16</v>
      </c>
    </row>
    <row r="85" spans="1:30" x14ac:dyDescent="0.2">
      <c r="A85" s="1" t="s">
        <v>23</v>
      </c>
      <c r="B85" s="1" t="s">
        <v>136</v>
      </c>
      <c r="C85">
        <v>68.91</v>
      </c>
      <c r="D85">
        <v>82</v>
      </c>
      <c r="E85">
        <v>663</v>
      </c>
      <c r="F85">
        <v>2411.75</v>
      </c>
      <c r="G85" s="1" t="s">
        <v>37</v>
      </c>
      <c r="H85">
        <v>65</v>
      </c>
      <c r="I85">
        <v>24</v>
      </c>
      <c r="J85">
        <v>7</v>
      </c>
      <c r="K85">
        <v>8</v>
      </c>
      <c r="L85" s="1" t="s">
        <v>26</v>
      </c>
      <c r="M85">
        <v>4.95</v>
      </c>
      <c r="N85" s="1" t="s">
        <v>38</v>
      </c>
      <c r="O85" s="1" t="s">
        <v>52</v>
      </c>
      <c r="P85">
        <v>20</v>
      </c>
      <c r="Q85">
        <v>443</v>
      </c>
      <c r="R85">
        <v>5</v>
      </c>
      <c r="S85">
        <v>97.73</v>
      </c>
      <c r="T85" s="1" t="s">
        <v>45</v>
      </c>
      <c r="U85">
        <v>0.77</v>
      </c>
      <c r="V85" s="1" t="s">
        <v>30</v>
      </c>
      <c r="W85" s="1" t="s">
        <v>47</v>
      </c>
      <c r="X85">
        <v>682.97</v>
      </c>
      <c r="Y85" s="6">
        <v>13.87900355871886</v>
      </c>
      <c r="Z85" t="str">
        <v>normal</v>
      </c>
      <c r="AA85" s="5">
        <v>4.314374756525126</v>
      </c>
      <c r="AB85" s="6">
        <v>88.6</v>
      </c>
      <c r="AC85" s="6">
        <v>4.5328967563695892</v>
      </c>
      <c r="AD85">
        <v>785.65000000000009</v>
      </c>
    </row>
    <row r="86" spans="1:30" x14ac:dyDescent="0.2">
      <c r="A86" s="1" t="s">
        <v>23</v>
      </c>
      <c r="B86" s="1" t="s">
        <v>137</v>
      </c>
      <c r="C86">
        <v>89.1</v>
      </c>
      <c r="D86">
        <v>99</v>
      </c>
      <c r="E86">
        <v>618</v>
      </c>
      <c r="F86">
        <v>2048.29</v>
      </c>
      <c r="G86" s="1" t="s">
        <v>37</v>
      </c>
      <c r="H86">
        <v>73</v>
      </c>
      <c r="I86">
        <v>26</v>
      </c>
      <c r="J86">
        <v>80</v>
      </c>
      <c r="K86">
        <v>10</v>
      </c>
      <c r="L86" s="1" t="s">
        <v>35</v>
      </c>
      <c r="M86">
        <v>8.3800000000000008</v>
      </c>
      <c r="N86" s="1" t="s">
        <v>43</v>
      </c>
      <c r="O86" s="1" t="s">
        <v>61</v>
      </c>
      <c r="P86">
        <v>24</v>
      </c>
      <c r="Q86">
        <v>589</v>
      </c>
      <c r="R86">
        <v>22</v>
      </c>
      <c r="S86">
        <v>33.81</v>
      </c>
      <c r="T86" s="1" t="s">
        <v>63</v>
      </c>
      <c r="U86">
        <v>4.84</v>
      </c>
      <c r="V86" s="1" t="s">
        <v>39</v>
      </c>
      <c r="W86" s="1" t="s">
        <v>31</v>
      </c>
      <c r="X86">
        <v>465.46</v>
      </c>
      <c r="Y86" s="6">
        <v>12.936989742516223</v>
      </c>
      <c r="Z86" t="str">
        <v>normal</v>
      </c>
      <c r="AA86" s="5">
        <v>13.960654183455794</v>
      </c>
      <c r="AB86" s="6">
        <v>26.772727272727273</v>
      </c>
      <c r="AC86" s="6">
        <v>17.420881396036673</v>
      </c>
      <c r="AD86">
        <v>507.65</v>
      </c>
    </row>
    <row r="87" spans="1:30" x14ac:dyDescent="0.2">
      <c r="A87" s="1" t="s">
        <v>56</v>
      </c>
      <c r="B87" s="1" t="s">
        <v>138</v>
      </c>
      <c r="C87">
        <v>76.959999999999994</v>
      </c>
      <c r="D87">
        <v>83</v>
      </c>
      <c r="E87">
        <v>25</v>
      </c>
      <c r="F87">
        <v>8684.61</v>
      </c>
      <c r="G87" s="1" t="s">
        <v>34</v>
      </c>
      <c r="H87">
        <v>15</v>
      </c>
      <c r="I87">
        <v>18</v>
      </c>
      <c r="J87">
        <v>66</v>
      </c>
      <c r="K87">
        <v>2</v>
      </c>
      <c r="L87" s="1" t="s">
        <v>42</v>
      </c>
      <c r="M87">
        <v>8.25</v>
      </c>
      <c r="N87" s="1" t="s">
        <v>43</v>
      </c>
      <c r="O87" s="1" t="s">
        <v>61</v>
      </c>
      <c r="P87">
        <v>4</v>
      </c>
      <c r="Q87">
        <v>211</v>
      </c>
      <c r="R87">
        <v>2</v>
      </c>
      <c r="S87">
        <v>69.930000000000007</v>
      </c>
      <c r="T87" s="1" t="s">
        <v>45</v>
      </c>
      <c r="U87">
        <v>1.37</v>
      </c>
      <c r="V87" s="1" t="s">
        <v>30</v>
      </c>
      <c r="W87" s="1" t="s">
        <v>31</v>
      </c>
      <c r="X87">
        <v>842.69</v>
      </c>
      <c r="Y87" s="6">
        <v>0.5233410090014653</v>
      </c>
      <c r="Z87" t="str">
        <v>normal</v>
      </c>
      <c r="AA87" s="5">
        <v>2.6988999744180093</v>
      </c>
      <c r="AB87" s="6">
        <v>105.5</v>
      </c>
      <c r="AC87" s="6">
        <v>3.0173030173030169</v>
      </c>
      <c r="AD87">
        <v>920.87000000000012</v>
      </c>
    </row>
    <row r="88" spans="1:30" x14ac:dyDescent="0.2">
      <c r="A88" s="1" t="s">
        <v>32</v>
      </c>
      <c r="B88" s="1" t="s">
        <v>139</v>
      </c>
      <c r="C88">
        <v>20</v>
      </c>
      <c r="D88">
        <v>18</v>
      </c>
      <c r="E88">
        <v>223</v>
      </c>
      <c r="F88">
        <v>1229.5899999999999</v>
      </c>
      <c r="G88" s="1" t="s">
        <v>37</v>
      </c>
      <c r="H88">
        <v>32</v>
      </c>
      <c r="I88">
        <v>14</v>
      </c>
      <c r="J88">
        <v>22</v>
      </c>
      <c r="K88">
        <v>6</v>
      </c>
      <c r="L88" s="1" t="s">
        <v>26</v>
      </c>
      <c r="M88">
        <v>1.45</v>
      </c>
      <c r="N88" s="1" t="s">
        <v>38</v>
      </c>
      <c r="O88" s="1" t="s">
        <v>28</v>
      </c>
      <c r="P88">
        <v>4</v>
      </c>
      <c r="Q88">
        <v>569</v>
      </c>
      <c r="R88">
        <v>18</v>
      </c>
      <c r="S88">
        <v>74.61</v>
      </c>
      <c r="T88" s="1" t="s">
        <v>63</v>
      </c>
      <c r="U88">
        <v>2.0499999999999998</v>
      </c>
      <c r="V88" s="1" t="s">
        <v>46</v>
      </c>
      <c r="W88" s="1" t="s">
        <v>47</v>
      </c>
      <c r="X88">
        <v>264.25</v>
      </c>
      <c r="Y88" s="6">
        <v>4.6682018002930707</v>
      </c>
      <c r="Z88" t="str">
        <v>normal</v>
      </c>
      <c r="AA88" s="5">
        <v>7.4809361030765187</v>
      </c>
      <c r="AB88" s="6">
        <v>31.611111111111111</v>
      </c>
      <c r="AC88" s="6">
        <v>7.6263235491221018</v>
      </c>
      <c r="AD88">
        <v>340.31</v>
      </c>
    </row>
    <row r="89" spans="1:30" x14ac:dyDescent="0.2">
      <c r="A89" s="1" t="s">
        <v>23</v>
      </c>
      <c r="B89" s="1" t="s">
        <v>140</v>
      </c>
      <c r="C89">
        <v>80.41</v>
      </c>
      <c r="D89">
        <v>24</v>
      </c>
      <c r="E89">
        <v>79</v>
      </c>
      <c r="F89">
        <v>5133.8500000000004</v>
      </c>
      <c r="G89" s="1" t="s">
        <v>54</v>
      </c>
      <c r="H89">
        <v>5</v>
      </c>
      <c r="I89">
        <v>7</v>
      </c>
      <c r="J89">
        <v>55</v>
      </c>
      <c r="K89">
        <v>10</v>
      </c>
      <c r="L89" s="1" t="s">
        <v>35</v>
      </c>
      <c r="M89">
        <v>6.58</v>
      </c>
      <c r="N89" s="1" t="s">
        <v>27</v>
      </c>
      <c r="O89" s="1" t="s">
        <v>61</v>
      </c>
      <c r="P89">
        <v>27</v>
      </c>
      <c r="Q89">
        <v>523</v>
      </c>
      <c r="R89">
        <v>17</v>
      </c>
      <c r="S89">
        <v>28.7</v>
      </c>
      <c r="T89" s="1" t="s">
        <v>45</v>
      </c>
      <c r="U89">
        <v>3.69</v>
      </c>
      <c r="V89" s="1" t="s">
        <v>55</v>
      </c>
      <c r="W89" s="1" t="s">
        <v>31</v>
      </c>
      <c r="X89">
        <v>879.36</v>
      </c>
      <c r="Y89" s="6">
        <v>1.6537575884446305</v>
      </c>
      <c r="Z89" t="str">
        <v>normal</v>
      </c>
      <c r="AA89" s="5">
        <v>14.824263038548752</v>
      </c>
      <c r="AB89" s="6">
        <v>30.764705882352942</v>
      </c>
      <c r="AC89" s="6">
        <v>18.222996515679444</v>
      </c>
      <c r="AD89">
        <v>914.64</v>
      </c>
    </row>
    <row r="90" spans="1:30" x14ac:dyDescent="0.2">
      <c r="A90" s="1" t="s">
        <v>56</v>
      </c>
      <c r="B90" s="1" t="s">
        <v>141</v>
      </c>
      <c r="C90">
        <v>75.27</v>
      </c>
      <c r="D90">
        <v>58</v>
      </c>
      <c r="E90">
        <v>737</v>
      </c>
      <c r="F90">
        <v>9444.74</v>
      </c>
      <c r="G90" s="1" t="s">
        <v>54</v>
      </c>
      <c r="H90">
        <v>60</v>
      </c>
      <c r="I90">
        <v>18</v>
      </c>
      <c r="J90">
        <v>85</v>
      </c>
      <c r="K90">
        <v>7</v>
      </c>
      <c r="L90" s="1" t="s">
        <v>35</v>
      </c>
      <c r="M90">
        <v>3.8</v>
      </c>
      <c r="N90" s="1" t="s">
        <v>60</v>
      </c>
      <c r="O90" s="1" t="s">
        <v>28</v>
      </c>
      <c r="P90">
        <v>21</v>
      </c>
      <c r="Q90">
        <v>953</v>
      </c>
      <c r="R90">
        <v>11</v>
      </c>
      <c r="S90">
        <v>68.180000000000007</v>
      </c>
      <c r="T90" s="1" t="s">
        <v>29</v>
      </c>
      <c r="U90">
        <v>0.72</v>
      </c>
      <c r="V90" s="1" t="s">
        <v>55</v>
      </c>
      <c r="W90" s="1" t="s">
        <v>47</v>
      </c>
      <c r="X90">
        <v>103.92</v>
      </c>
      <c r="Y90" s="6">
        <v>15.428092945363197</v>
      </c>
      <c r="Z90" t="str">
        <v>normal</v>
      </c>
      <c r="AA90" s="5">
        <v>13.239788830230619</v>
      </c>
      <c r="AB90" s="6">
        <v>86.63636363636364</v>
      </c>
      <c r="AC90" s="6">
        <v>13.977706072161922</v>
      </c>
      <c r="AD90">
        <v>175.9</v>
      </c>
    </row>
    <row r="91" spans="1:30" x14ac:dyDescent="0.2">
      <c r="A91" s="1" t="s">
        <v>56</v>
      </c>
      <c r="B91" s="1" t="s">
        <v>142</v>
      </c>
      <c r="C91">
        <v>97.76</v>
      </c>
      <c r="D91">
        <v>10</v>
      </c>
      <c r="E91">
        <v>134</v>
      </c>
      <c r="F91">
        <v>5924.68</v>
      </c>
      <c r="G91" s="1" t="s">
        <v>37</v>
      </c>
      <c r="H91">
        <v>90</v>
      </c>
      <c r="I91">
        <v>1</v>
      </c>
      <c r="J91">
        <v>27</v>
      </c>
      <c r="K91">
        <v>8</v>
      </c>
      <c r="L91" s="1" t="s">
        <v>26</v>
      </c>
      <c r="M91">
        <v>9.93</v>
      </c>
      <c r="N91" s="1" t="s">
        <v>38</v>
      </c>
      <c r="O91" s="1" t="s">
        <v>44</v>
      </c>
      <c r="P91">
        <v>23</v>
      </c>
      <c r="Q91">
        <v>370</v>
      </c>
      <c r="R91">
        <v>11</v>
      </c>
      <c r="S91">
        <v>46.6</v>
      </c>
      <c r="T91" s="1" t="s">
        <v>29</v>
      </c>
      <c r="U91">
        <v>1.91</v>
      </c>
      <c r="V91" s="1" t="s">
        <v>46</v>
      </c>
      <c r="W91" s="1" t="s">
        <v>31</v>
      </c>
      <c r="X91">
        <v>517.5</v>
      </c>
      <c r="Y91" s="6">
        <v>2.805107808247854</v>
      </c>
      <c r="Z91" t="str">
        <v>normal</v>
      </c>
      <c r="AA91" s="5">
        <v>6.5451972404033256</v>
      </c>
      <c r="AB91" s="6">
        <v>33.636363636363633</v>
      </c>
      <c r="AC91" s="6">
        <v>7.9399141630901289</v>
      </c>
      <c r="AD91">
        <v>574.03</v>
      </c>
    </row>
    <row r="92" spans="1:30" x14ac:dyDescent="0.2">
      <c r="A92" s="1" t="s">
        <v>32</v>
      </c>
      <c r="B92" s="1" t="s">
        <v>143</v>
      </c>
      <c r="C92">
        <v>13.88</v>
      </c>
      <c r="D92">
        <v>56</v>
      </c>
      <c r="E92">
        <v>320</v>
      </c>
      <c r="F92">
        <v>9592.6299999999992</v>
      </c>
      <c r="G92" s="1" t="s">
        <v>25</v>
      </c>
      <c r="H92">
        <v>66</v>
      </c>
      <c r="I92">
        <v>18</v>
      </c>
      <c r="J92">
        <v>96</v>
      </c>
      <c r="K92">
        <v>7</v>
      </c>
      <c r="L92" s="1" t="s">
        <v>26</v>
      </c>
      <c r="M92">
        <v>7.67</v>
      </c>
      <c r="N92" s="1" t="s">
        <v>27</v>
      </c>
      <c r="O92" s="1" t="s">
        <v>52</v>
      </c>
      <c r="P92">
        <v>8</v>
      </c>
      <c r="Q92">
        <v>585</v>
      </c>
      <c r="R92">
        <v>8</v>
      </c>
      <c r="S92">
        <v>85.68</v>
      </c>
      <c r="T92" s="1" t="s">
        <v>63</v>
      </c>
      <c r="U92">
        <v>1.22</v>
      </c>
      <c r="V92" s="1" t="s">
        <v>46</v>
      </c>
      <c r="W92" s="1" t="s">
        <v>31</v>
      </c>
      <c r="X92">
        <v>990.08</v>
      </c>
      <c r="Y92" s="6">
        <v>6.6987649152187565</v>
      </c>
      <c r="Z92" t="str">
        <v>normal</v>
      </c>
      <c r="AA92" s="5">
        <v>6.2667380824852703</v>
      </c>
      <c r="AB92" s="6">
        <v>73.125</v>
      </c>
      <c r="AC92" s="6">
        <v>6.8277310924369745</v>
      </c>
      <c r="AD92">
        <v>1083.43</v>
      </c>
    </row>
    <row r="93" spans="1:30" x14ac:dyDescent="0.2">
      <c r="A93" s="1" t="s">
        <v>56</v>
      </c>
      <c r="B93" s="1" t="s">
        <v>144</v>
      </c>
      <c r="C93">
        <v>62.11</v>
      </c>
      <c r="D93">
        <v>90</v>
      </c>
      <c r="E93">
        <v>916</v>
      </c>
      <c r="F93">
        <v>1935.21</v>
      </c>
      <c r="G93" s="1" t="s">
        <v>54</v>
      </c>
      <c r="H93">
        <v>98</v>
      </c>
      <c r="I93">
        <v>22</v>
      </c>
      <c r="J93">
        <v>85</v>
      </c>
      <c r="K93">
        <v>7</v>
      </c>
      <c r="L93" s="1" t="s">
        <v>26</v>
      </c>
      <c r="M93">
        <v>7.47</v>
      </c>
      <c r="N93" s="1" t="s">
        <v>51</v>
      </c>
      <c r="O93" s="1" t="s">
        <v>49</v>
      </c>
      <c r="P93">
        <v>5</v>
      </c>
      <c r="Q93">
        <v>207</v>
      </c>
      <c r="R93">
        <v>28</v>
      </c>
      <c r="S93">
        <v>39.770000000000003</v>
      </c>
      <c r="T93" s="1" t="s">
        <v>29</v>
      </c>
      <c r="U93">
        <v>0.63</v>
      </c>
      <c r="V93" s="1" t="s">
        <v>46</v>
      </c>
      <c r="W93" s="1" t="s">
        <v>31</v>
      </c>
      <c r="X93">
        <v>996.78</v>
      </c>
      <c r="Y93" s="6">
        <v>19.17521456981369</v>
      </c>
      <c r="Z93" t="str">
        <v>normal</v>
      </c>
      <c r="AA93" s="5">
        <v>4.3818797629127859</v>
      </c>
      <c r="AB93" s="6">
        <v>7.3928571428571432</v>
      </c>
      <c r="AC93" s="6">
        <v>5.2049283379431728</v>
      </c>
      <c r="AD93">
        <v>1044.02</v>
      </c>
    </row>
    <row r="94" spans="1:30" x14ac:dyDescent="0.2">
      <c r="A94" s="1" t="s">
        <v>56</v>
      </c>
      <c r="B94" s="1" t="s">
        <v>145</v>
      </c>
      <c r="C94">
        <v>47.71</v>
      </c>
      <c r="D94">
        <v>44</v>
      </c>
      <c r="E94">
        <v>276</v>
      </c>
      <c r="F94">
        <v>2100.13</v>
      </c>
      <c r="G94" s="1" t="s">
        <v>54</v>
      </c>
      <c r="H94">
        <v>90</v>
      </c>
      <c r="I94">
        <v>25</v>
      </c>
      <c r="J94">
        <v>10</v>
      </c>
      <c r="K94">
        <v>8</v>
      </c>
      <c r="L94" s="1" t="s">
        <v>26</v>
      </c>
      <c r="M94">
        <v>4.47</v>
      </c>
      <c r="N94" s="1" t="s">
        <v>60</v>
      </c>
      <c r="O94" s="1" t="s">
        <v>28</v>
      </c>
      <c r="P94">
        <v>4</v>
      </c>
      <c r="Q94">
        <v>671</v>
      </c>
      <c r="R94">
        <v>29</v>
      </c>
      <c r="S94">
        <v>62.61</v>
      </c>
      <c r="T94" s="1" t="s">
        <v>63</v>
      </c>
      <c r="U94">
        <v>0.33</v>
      </c>
      <c r="V94" s="1" t="s">
        <v>46</v>
      </c>
      <c r="W94" s="1" t="s">
        <v>31</v>
      </c>
      <c r="X94">
        <v>230.09</v>
      </c>
      <c r="Y94" s="6">
        <v>5.777684739376177</v>
      </c>
      <c r="Z94" t="str">
        <v>normal</v>
      </c>
      <c r="AA94" s="5">
        <v>10.002981514609422</v>
      </c>
      <c r="AB94" s="6">
        <v>23.137931034482758</v>
      </c>
      <c r="AC94" s="6">
        <v>10.717137837406165</v>
      </c>
      <c r="AD94">
        <v>297.17</v>
      </c>
    </row>
    <row r="95" spans="1:30" x14ac:dyDescent="0.2">
      <c r="A95" s="1" t="s">
        <v>23</v>
      </c>
      <c r="B95" s="1" t="s">
        <v>146</v>
      </c>
      <c r="C95">
        <v>69.290000000000006</v>
      </c>
      <c r="D95">
        <v>88</v>
      </c>
      <c r="E95">
        <v>114</v>
      </c>
      <c r="F95">
        <v>4531.3999999999996</v>
      </c>
      <c r="G95" s="1" t="s">
        <v>37</v>
      </c>
      <c r="H95">
        <v>63</v>
      </c>
      <c r="I95">
        <v>17</v>
      </c>
      <c r="J95">
        <v>66</v>
      </c>
      <c r="K95">
        <v>1</v>
      </c>
      <c r="L95" s="1" t="s">
        <v>42</v>
      </c>
      <c r="M95">
        <v>7.01</v>
      </c>
      <c r="N95" s="1" t="s">
        <v>51</v>
      </c>
      <c r="O95" s="1" t="s">
        <v>61</v>
      </c>
      <c r="P95">
        <v>21</v>
      </c>
      <c r="Q95">
        <v>824</v>
      </c>
      <c r="R95">
        <v>20</v>
      </c>
      <c r="S95">
        <v>35.630000000000003</v>
      </c>
      <c r="T95" s="1" t="s">
        <v>45</v>
      </c>
      <c r="U95">
        <v>4.17</v>
      </c>
      <c r="V95" s="1" t="s">
        <v>39</v>
      </c>
      <c r="W95" s="1" t="s">
        <v>47</v>
      </c>
      <c r="X95">
        <v>823.52</v>
      </c>
      <c r="Y95" s="6">
        <v>2.3864350010466819</v>
      </c>
      <c r="Z95" t="str">
        <v>normal</v>
      </c>
      <c r="AA95" s="5">
        <v>19.324577861163228</v>
      </c>
      <c r="AB95" s="6">
        <v>41.2</v>
      </c>
      <c r="AC95" s="6">
        <v>23.126578725792868</v>
      </c>
      <c r="AD95">
        <v>866.16</v>
      </c>
    </row>
    <row r="96" spans="1:30" x14ac:dyDescent="0.2">
      <c r="A96" s="1" t="s">
        <v>56</v>
      </c>
      <c r="B96" s="1" t="s">
        <v>147</v>
      </c>
      <c r="C96">
        <v>3.04</v>
      </c>
      <c r="D96">
        <v>97</v>
      </c>
      <c r="E96">
        <v>987</v>
      </c>
      <c r="F96">
        <v>7888.36</v>
      </c>
      <c r="G96" s="1" t="s">
        <v>37</v>
      </c>
      <c r="H96">
        <v>77</v>
      </c>
      <c r="I96">
        <v>26</v>
      </c>
      <c r="J96">
        <v>72</v>
      </c>
      <c r="K96">
        <v>9</v>
      </c>
      <c r="L96" s="1" t="s">
        <v>26</v>
      </c>
      <c r="M96">
        <v>6.94</v>
      </c>
      <c r="N96" s="1" t="s">
        <v>60</v>
      </c>
      <c r="O96" s="1" t="s">
        <v>49</v>
      </c>
      <c r="P96">
        <v>12</v>
      </c>
      <c r="Q96">
        <v>908</v>
      </c>
      <c r="R96">
        <v>14</v>
      </c>
      <c r="S96">
        <v>60.39</v>
      </c>
      <c r="T96" s="1" t="s">
        <v>63</v>
      </c>
      <c r="U96">
        <v>1.46</v>
      </c>
      <c r="V96" s="1" t="s">
        <v>46</v>
      </c>
      <c r="W96" s="1" t="s">
        <v>31</v>
      </c>
      <c r="X96">
        <v>846.67</v>
      </c>
      <c r="Y96" s="6">
        <v>20.661503035377851</v>
      </c>
      <c r="Z96" t="str">
        <v>normal</v>
      </c>
      <c r="AA96" s="5">
        <v>13.485816129511361</v>
      </c>
      <c r="AB96" s="6">
        <v>64.857142857142861</v>
      </c>
      <c r="AC96" s="6">
        <v>15.035601920847823</v>
      </c>
      <c r="AD96">
        <v>914</v>
      </c>
    </row>
    <row r="97" spans="1:30" x14ac:dyDescent="0.2">
      <c r="A97" s="1" t="s">
        <v>23</v>
      </c>
      <c r="B97" s="1" t="s">
        <v>148</v>
      </c>
      <c r="C97">
        <v>77.900000000000006</v>
      </c>
      <c r="D97">
        <v>65</v>
      </c>
      <c r="E97">
        <v>672</v>
      </c>
      <c r="F97">
        <v>7386.36</v>
      </c>
      <c r="G97" s="1" t="s">
        <v>37</v>
      </c>
      <c r="H97">
        <v>15</v>
      </c>
      <c r="I97">
        <v>14</v>
      </c>
      <c r="J97">
        <v>26</v>
      </c>
      <c r="K97">
        <v>9</v>
      </c>
      <c r="L97" s="1" t="s">
        <v>26</v>
      </c>
      <c r="M97">
        <v>8.6300000000000008</v>
      </c>
      <c r="N97" s="1" t="s">
        <v>51</v>
      </c>
      <c r="O97" s="1" t="s">
        <v>28</v>
      </c>
      <c r="P97">
        <v>18</v>
      </c>
      <c r="Q97">
        <v>450</v>
      </c>
      <c r="R97">
        <v>26</v>
      </c>
      <c r="S97">
        <v>58.89</v>
      </c>
      <c r="T97" s="1" t="s">
        <v>29</v>
      </c>
      <c r="U97">
        <v>1.21</v>
      </c>
      <c r="V97" s="1" t="s">
        <v>39</v>
      </c>
      <c r="W97" s="1" t="s">
        <v>47</v>
      </c>
      <c r="X97">
        <v>778.86</v>
      </c>
      <c r="Y97" s="6">
        <v>14.067406321959387</v>
      </c>
      <c r="Z97" t="str">
        <v>normal</v>
      </c>
      <c r="AA97" s="5">
        <v>6.6646919431279628</v>
      </c>
      <c r="AB97" s="6">
        <v>17.307692307692307</v>
      </c>
      <c r="AC97" s="6">
        <v>7.6413652572592969</v>
      </c>
      <c r="AD97">
        <v>846.38</v>
      </c>
    </row>
    <row r="98" spans="1:30" x14ac:dyDescent="0.2">
      <c r="A98" s="1" t="s">
        <v>56</v>
      </c>
      <c r="B98" s="1" t="s">
        <v>149</v>
      </c>
      <c r="C98">
        <v>24.42</v>
      </c>
      <c r="D98">
        <v>29</v>
      </c>
      <c r="E98">
        <v>324</v>
      </c>
      <c r="F98">
        <v>7698.42</v>
      </c>
      <c r="G98" s="1" t="s">
        <v>25</v>
      </c>
      <c r="H98">
        <v>67</v>
      </c>
      <c r="I98">
        <v>2</v>
      </c>
      <c r="J98">
        <v>32</v>
      </c>
      <c r="K98">
        <v>3</v>
      </c>
      <c r="L98" s="1" t="s">
        <v>42</v>
      </c>
      <c r="M98">
        <v>5.35</v>
      </c>
      <c r="N98" s="1" t="s">
        <v>27</v>
      </c>
      <c r="O98" s="1" t="s">
        <v>28</v>
      </c>
      <c r="P98">
        <v>28</v>
      </c>
      <c r="Q98">
        <v>648</v>
      </c>
      <c r="R98">
        <v>28</v>
      </c>
      <c r="S98">
        <v>17.8</v>
      </c>
      <c r="T98" s="1" t="s">
        <v>29</v>
      </c>
      <c r="U98">
        <v>3.87</v>
      </c>
      <c r="V98" s="1" t="s">
        <v>30</v>
      </c>
      <c r="W98" s="1" t="s">
        <v>47</v>
      </c>
      <c r="X98">
        <v>188.74</v>
      </c>
      <c r="Y98" s="6">
        <v>6.7824994766589901</v>
      </c>
      <c r="Z98" t="str">
        <v>normal</v>
      </c>
      <c r="AA98" s="5">
        <v>27.99136069114471</v>
      </c>
      <c r="AB98" s="6">
        <v>23.142857142857142</v>
      </c>
      <c r="AC98" s="6">
        <v>36.40449438202247</v>
      </c>
      <c r="AD98">
        <v>211.89000000000001</v>
      </c>
    </row>
    <row r="99" spans="1:30" x14ac:dyDescent="0.2">
      <c r="A99" s="1" t="s">
        <v>23</v>
      </c>
      <c r="B99" s="1" t="s">
        <v>150</v>
      </c>
      <c r="C99">
        <v>3.53</v>
      </c>
      <c r="D99">
        <v>56</v>
      </c>
      <c r="E99">
        <v>62</v>
      </c>
      <c r="F99">
        <v>4370.92</v>
      </c>
      <c r="G99" s="1" t="s">
        <v>54</v>
      </c>
      <c r="H99">
        <v>46</v>
      </c>
      <c r="I99">
        <v>19</v>
      </c>
      <c r="J99">
        <v>4</v>
      </c>
      <c r="K99">
        <v>9</v>
      </c>
      <c r="L99" s="1" t="s">
        <v>35</v>
      </c>
      <c r="M99">
        <v>7.9</v>
      </c>
      <c r="N99" s="1" t="s">
        <v>51</v>
      </c>
      <c r="O99" s="1" t="s">
        <v>28</v>
      </c>
      <c r="P99">
        <v>10</v>
      </c>
      <c r="Q99">
        <v>535</v>
      </c>
      <c r="R99">
        <v>13</v>
      </c>
      <c r="S99">
        <v>65.77</v>
      </c>
      <c r="T99" s="1" t="s">
        <v>45</v>
      </c>
      <c r="U99">
        <v>3.38</v>
      </c>
      <c r="V99" s="1" t="s">
        <v>30</v>
      </c>
      <c r="W99" s="1" t="s">
        <v>47</v>
      </c>
      <c r="X99">
        <v>540.13</v>
      </c>
      <c r="Y99" s="6">
        <v>1.2978857023236341</v>
      </c>
      <c r="Z99" t="str">
        <v>normal</v>
      </c>
      <c r="AA99" s="5">
        <v>7.2621148364327404</v>
      </c>
      <c r="AB99" s="6">
        <v>41.153846153846153</v>
      </c>
      <c r="AC99" s="6">
        <v>8.1344077847042726</v>
      </c>
      <c r="AD99">
        <v>613.79999999999995</v>
      </c>
    </row>
    <row r="100" spans="1:30" x14ac:dyDescent="0.2">
      <c r="A100" s="1" t="s">
        <v>32</v>
      </c>
      <c r="B100" s="1" t="s">
        <v>151</v>
      </c>
      <c r="C100">
        <v>19.75</v>
      </c>
      <c r="D100">
        <v>43</v>
      </c>
      <c r="E100">
        <v>913</v>
      </c>
      <c r="F100">
        <v>8525.9500000000007</v>
      </c>
      <c r="G100" s="1" t="s">
        <v>34</v>
      </c>
      <c r="H100">
        <v>53</v>
      </c>
      <c r="I100">
        <v>1</v>
      </c>
      <c r="J100">
        <v>27</v>
      </c>
      <c r="K100">
        <v>7</v>
      </c>
      <c r="L100" s="1" t="s">
        <v>26</v>
      </c>
      <c r="M100">
        <v>1.41</v>
      </c>
      <c r="N100" s="1" t="s">
        <v>43</v>
      </c>
      <c r="O100" s="1" t="s">
        <v>61</v>
      </c>
      <c r="P100">
        <v>28</v>
      </c>
      <c r="Q100">
        <v>581</v>
      </c>
      <c r="R100">
        <v>9</v>
      </c>
      <c r="S100">
        <v>5.6</v>
      </c>
      <c r="T100" s="1" t="s">
        <v>29</v>
      </c>
      <c r="U100">
        <v>2.91</v>
      </c>
      <c r="V100" s="1" t="s">
        <v>46</v>
      </c>
      <c r="W100" s="1" t="s">
        <v>47</v>
      </c>
      <c r="X100">
        <v>882.2</v>
      </c>
      <c r="Y100" s="6">
        <v>19.112413648733515</v>
      </c>
      <c r="Z100" t="str">
        <v>normal</v>
      </c>
      <c r="AA100" s="5">
        <v>82.88159771754637</v>
      </c>
      <c r="AB100" s="6">
        <v>64.555555555555557</v>
      </c>
      <c r="AC100" s="6">
        <v>103.75</v>
      </c>
      <c r="AD100">
        <v>889.21</v>
      </c>
    </row>
    <row r="101" spans="1:30" x14ac:dyDescent="0.2">
      <c r="A101" s="1" t="s">
        <v>23</v>
      </c>
      <c r="B101" s="1" t="s">
        <v>152</v>
      </c>
      <c r="C101">
        <v>68.52</v>
      </c>
      <c r="D101">
        <v>17</v>
      </c>
      <c r="E101">
        <v>627</v>
      </c>
      <c r="F101">
        <v>9185.19</v>
      </c>
      <c r="G101" s="1" t="s">
        <v>37</v>
      </c>
      <c r="H101">
        <v>55</v>
      </c>
      <c r="I101">
        <v>8</v>
      </c>
      <c r="J101">
        <v>59</v>
      </c>
      <c r="K101">
        <v>6</v>
      </c>
      <c r="L101" s="1" t="s">
        <v>26</v>
      </c>
      <c r="M101">
        <v>1.31</v>
      </c>
      <c r="N101" s="1" t="s">
        <v>60</v>
      </c>
      <c r="O101" s="1" t="s">
        <v>61</v>
      </c>
      <c r="P101">
        <v>29</v>
      </c>
      <c r="Q101">
        <v>921</v>
      </c>
      <c r="R101">
        <v>2</v>
      </c>
      <c r="S101">
        <v>38.07</v>
      </c>
      <c r="T101" s="1" t="s">
        <v>45</v>
      </c>
      <c r="U101">
        <v>0.35</v>
      </c>
      <c r="V101" s="1" t="s">
        <v>46</v>
      </c>
      <c r="W101" s="1" t="s">
        <v>31</v>
      </c>
      <c r="X101">
        <v>210.74</v>
      </c>
      <c r="Y101" s="6">
        <v>13.12539250575675</v>
      </c>
      <c r="Z101" t="str">
        <v>normal</v>
      </c>
      <c r="AA101" s="5">
        <v>23.387506348400201</v>
      </c>
      <c r="AB101" s="6">
        <v>460.5</v>
      </c>
      <c r="AC101" s="6">
        <v>24.192277383766744</v>
      </c>
      <c r="AD101">
        <v>250.12</v>
      </c>
    </row>
    <row r="102" spans="1:30" x14ac:dyDescent="0.2">
      <c r="A102" s="1"/>
      <c r="B102" s="1"/>
      <c r="G102" s="1"/>
      <c r="L102" s="1"/>
      <c r="N102" s="1"/>
      <c r="O102" s="1"/>
      <c r="T102" s="1"/>
      <c r="V102" s="1"/>
      <c r="W102" s="1"/>
    </row>
    <row r="103" spans="1:30" x14ac:dyDescent="0.2">
      <c r="L103" t="str" cm="1">
        <f t="array" ref="L103:L105">_xlfn.UNIQUE(supply_chain_data[Shipping carriers])</f>
        <v>Carrier B</v>
      </c>
      <c r="N103" t="str" cm="1">
        <f t="array" ref="N103:N107">_xlfn.UNIQUE(supply_chain_data[Supplier name])</f>
        <v>Supplier 3</v>
      </c>
      <c r="O103" t="str" cm="1">
        <f t="array" ref="O103:O107">_xlfn.UNIQUE(supply_chain_data[Location])</f>
        <v>Mumbai</v>
      </c>
      <c r="T103" t="str" cm="1">
        <f t="array" ref="T103:T105">_xlfn.UNIQUE(supply_chain_data[Inspection results])</f>
        <v>Pending</v>
      </c>
      <c r="V103" t="str" cm="1">
        <f t="array" ref="V103:V106">_xlfn.UNIQUE(supply_chain_data[Transportation modes])</f>
        <v>Road</v>
      </c>
      <c r="W103" t="str" cm="1">
        <f t="array" ref="W103:W105">_xlfn.UNIQUE(supply_chain_data[Routes])</f>
        <v>Route B</v>
      </c>
    </row>
    <row r="104" spans="1:30" x14ac:dyDescent="0.2">
      <c r="G104" t="str" cm="1">
        <f t="array" ref="G104:G107">_xlfn.UNIQUE(supply_chain_data[Customer demographics])</f>
        <v>Non-binary</v>
      </c>
      <c r="L104" t="str">
        <v>Carrier A</v>
      </c>
      <c r="N104" t="str">
        <v>Supplier 1</v>
      </c>
      <c r="O104" t="str">
        <v>Kolkata</v>
      </c>
      <c r="T104" t="str">
        <v>Fail</v>
      </c>
      <c r="V104" t="str">
        <v>Air</v>
      </c>
      <c r="W104" t="str">
        <v>Route C</v>
      </c>
    </row>
    <row r="105" spans="1:30" x14ac:dyDescent="0.2">
      <c r="A105" t="str" cm="1">
        <f t="array" ref="A105:A107">_xlfn.UNIQUE(supply_chain_data[Product type])</f>
        <v>haircare</v>
      </c>
      <c r="B105" t="str" cm="1">
        <f t="array" ref="B105:B204">_xlfn.UNIQUE(supply_chain_data[SKU])</f>
        <v>SKU0</v>
      </c>
      <c r="G105" t="str">
        <v>Female</v>
      </c>
      <c r="L105" t="str">
        <v>Carrier C</v>
      </c>
      <c r="N105" t="str">
        <v>Supplier 5</v>
      </c>
      <c r="O105" t="str">
        <v>Delhi</v>
      </c>
      <c r="T105" t="str">
        <v>Pass</v>
      </c>
      <c r="V105" t="str">
        <v>Rail</v>
      </c>
      <c r="W105" t="str">
        <v>Route A</v>
      </c>
    </row>
    <row r="106" spans="1:30" x14ac:dyDescent="0.2">
      <c r="A106" t="str">
        <v>skincare</v>
      </c>
      <c r="B106" t="str">
        <v>SKU1</v>
      </c>
      <c r="G106" t="str">
        <v>Unknown</v>
      </c>
      <c r="N106" t="str">
        <v>Supplier 4</v>
      </c>
      <c r="O106" t="str">
        <v>Bangalore</v>
      </c>
      <c r="V106" t="str">
        <v>Sea</v>
      </c>
    </row>
    <row r="107" spans="1:30" x14ac:dyDescent="0.2">
      <c r="A107" t="str">
        <v>cosmetics</v>
      </c>
      <c r="B107" t="str">
        <v>SKU2</v>
      </c>
      <c r="G107" t="str">
        <v>Male</v>
      </c>
      <c r="N107" t="str">
        <v>Supplier 2</v>
      </c>
      <c r="O107" t="str">
        <v>Chennai</v>
      </c>
    </row>
    <row r="108" spans="1:30" x14ac:dyDescent="0.2">
      <c r="B108" t="str">
        <v>SKU3</v>
      </c>
    </row>
    <row r="109" spans="1:30" x14ac:dyDescent="0.2">
      <c r="B109" t="str">
        <v>SKU4</v>
      </c>
    </row>
    <row r="110" spans="1:30" x14ac:dyDescent="0.2">
      <c r="B110" t="str">
        <v>SKU5</v>
      </c>
    </row>
    <row r="111" spans="1:30" x14ac:dyDescent="0.2">
      <c r="B111" t="str">
        <v>SKU6</v>
      </c>
    </row>
    <row r="112" spans="1:30" x14ac:dyDescent="0.2">
      <c r="B112" t="str">
        <v>SKU7</v>
      </c>
    </row>
    <row r="113" spans="2:2" x14ac:dyDescent="0.2">
      <c r="B113" t="str">
        <v>SKU8</v>
      </c>
    </row>
    <row r="114" spans="2:2" x14ac:dyDescent="0.2">
      <c r="B114" t="str">
        <v>SKU9</v>
      </c>
    </row>
    <row r="115" spans="2:2" x14ac:dyDescent="0.2">
      <c r="B115" t="str">
        <v>SKU10</v>
      </c>
    </row>
    <row r="116" spans="2:2" x14ac:dyDescent="0.2">
      <c r="B116" t="str">
        <v>SKU11</v>
      </c>
    </row>
    <row r="117" spans="2:2" x14ac:dyDescent="0.2">
      <c r="B117" t="str">
        <v>SKU12</v>
      </c>
    </row>
    <row r="118" spans="2:2" x14ac:dyDescent="0.2">
      <c r="B118" t="str">
        <v>SKU13</v>
      </c>
    </row>
    <row r="119" spans="2:2" x14ac:dyDescent="0.2">
      <c r="B119" t="str">
        <v>SKU14</v>
      </c>
    </row>
    <row r="120" spans="2:2" x14ac:dyDescent="0.2">
      <c r="B120" t="str">
        <v>SKU15</v>
      </c>
    </row>
    <row r="121" spans="2:2" x14ac:dyDescent="0.2">
      <c r="B121" t="str">
        <v>SKU16</v>
      </c>
    </row>
    <row r="122" spans="2:2" x14ac:dyDescent="0.2">
      <c r="B122" t="str">
        <v>SKU17</v>
      </c>
    </row>
    <row r="123" spans="2:2" x14ac:dyDescent="0.2">
      <c r="B123" t="str">
        <v>SKU18</v>
      </c>
    </row>
    <row r="124" spans="2:2" x14ac:dyDescent="0.2">
      <c r="B124" t="str">
        <v>SKU19</v>
      </c>
    </row>
    <row r="125" spans="2:2" x14ac:dyDescent="0.2">
      <c r="B125" t="str">
        <v>SKU20</v>
      </c>
    </row>
    <row r="126" spans="2:2" x14ac:dyDescent="0.2">
      <c r="B126" t="str">
        <v>SKU21</v>
      </c>
    </row>
    <row r="127" spans="2:2" x14ac:dyDescent="0.2">
      <c r="B127" t="str">
        <v>SKU22</v>
      </c>
    </row>
    <row r="128" spans="2:2" x14ac:dyDescent="0.2">
      <c r="B128" t="str">
        <v>SKU23</v>
      </c>
    </row>
    <row r="129" spans="2:2" x14ac:dyDescent="0.2">
      <c r="B129" t="str">
        <v>SKU24</v>
      </c>
    </row>
    <row r="130" spans="2:2" x14ac:dyDescent="0.2">
      <c r="B130" t="str">
        <v>SKU25</v>
      </c>
    </row>
    <row r="131" spans="2:2" x14ac:dyDescent="0.2">
      <c r="B131" t="str">
        <v>SKU26</v>
      </c>
    </row>
    <row r="132" spans="2:2" x14ac:dyDescent="0.2">
      <c r="B132" t="str">
        <v>SKU27</v>
      </c>
    </row>
    <row r="133" spans="2:2" x14ac:dyDescent="0.2">
      <c r="B133" t="str">
        <v>SKU28</v>
      </c>
    </row>
    <row r="134" spans="2:2" x14ac:dyDescent="0.2">
      <c r="B134" t="str">
        <v>SKU29</v>
      </c>
    </row>
    <row r="135" spans="2:2" x14ac:dyDescent="0.2">
      <c r="B135" t="str">
        <v>SKU30</v>
      </c>
    </row>
    <row r="136" spans="2:2" x14ac:dyDescent="0.2">
      <c r="B136" t="str">
        <v>SKU31</v>
      </c>
    </row>
    <row r="137" spans="2:2" x14ac:dyDescent="0.2">
      <c r="B137" t="str">
        <v>SKU32</v>
      </c>
    </row>
    <row r="138" spans="2:2" x14ac:dyDescent="0.2">
      <c r="B138" t="str">
        <v>SKU33</v>
      </c>
    </row>
    <row r="139" spans="2:2" x14ac:dyDescent="0.2">
      <c r="B139" t="str">
        <v>SKU34</v>
      </c>
    </row>
    <row r="140" spans="2:2" x14ac:dyDescent="0.2">
      <c r="B140" t="str">
        <v>SKU35</v>
      </c>
    </row>
    <row r="141" spans="2:2" x14ac:dyDescent="0.2">
      <c r="B141" t="str">
        <v>SKU36</v>
      </c>
    </row>
    <row r="142" spans="2:2" x14ac:dyDescent="0.2">
      <c r="B142" t="str">
        <v>SKU37</v>
      </c>
    </row>
    <row r="143" spans="2:2" x14ac:dyDescent="0.2">
      <c r="B143" t="str">
        <v>SKU38</v>
      </c>
    </row>
    <row r="144" spans="2:2" x14ac:dyDescent="0.2">
      <c r="B144" t="str">
        <v>SKU39</v>
      </c>
    </row>
    <row r="145" spans="2:2" x14ac:dyDescent="0.2">
      <c r="B145" t="str">
        <v>SKU40</v>
      </c>
    </row>
    <row r="146" spans="2:2" x14ac:dyDescent="0.2">
      <c r="B146" t="str">
        <v>SKU41</v>
      </c>
    </row>
    <row r="147" spans="2:2" x14ac:dyDescent="0.2">
      <c r="B147" t="str">
        <v>SKU42</v>
      </c>
    </row>
    <row r="148" spans="2:2" x14ac:dyDescent="0.2">
      <c r="B148" t="str">
        <v>SKU43</v>
      </c>
    </row>
    <row r="149" spans="2:2" x14ac:dyDescent="0.2">
      <c r="B149" t="str">
        <v>SKU44</v>
      </c>
    </row>
    <row r="150" spans="2:2" x14ac:dyDescent="0.2">
      <c r="B150" t="str">
        <v>SKU45</v>
      </c>
    </row>
    <row r="151" spans="2:2" x14ac:dyDescent="0.2">
      <c r="B151" t="str">
        <v>SKU46</v>
      </c>
    </row>
    <row r="152" spans="2:2" x14ac:dyDescent="0.2">
      <c r="B152" t="str">
        <v>SKU47</v>
      </c>
    </row>
    <row r="153" spans="2:2" x14ac:dyDescent="0.2">
      <c r="B153" t="str">
        <v>SKU48</v>
      </c>
    </row>
    <row r="154" spans="2:2" x14ac:dyDescent="0.2">
      <c r="B154" t="str">
        <v>SKU49</v>
      </c>
    </row>
    <row r="155" spans="2:2" x14ac:dyDescent="0.2">
      <c r="B155" t="str">
        <v>SKU50</v>
      </c>
    </row>
    <row r="156" spans="2:2" x14ac:dyDescent="0.2">
      <c r="B156" t="str">
        <v>SKU51</v>
      </c>
    </row>
    <row r="157" spans="2:2" x14ac:dyDescent="0.2">
      <c r="B157" t="str">
        <v>SKU52</v>
      </c>
    </row>
    <row r="158" spans="2:2" x14ac:dyDescent="0.2">
      <c r="B158" t="str">
        <v>SKU53</v>
      </c>
    </row>
    <row r="159" spans="2:2" x14ac:dyDescent="0.2">
      <c r="B159" t="str">
        <v>SKU54</v>
      </c>
    </row>
    <row r="160" spans="2:2" x14ac:dyDescent="0.2">
      <c r="B160" t="str">
        <v>SKU55</v>
      </c>
    </row>
    <row r="161" spans="2:2" x14ac:dyDescent="0.2">
      <c r="B161" t="str">
        <v>SKU56</v>
      </c>
    </row>
    <row r="162" spans="2:2" x14ac:dyDescent="0.2">
      <c r="B162" t="str">
        <v>SKU57</v>
      </c>
    </row>
    <row r="163" spans="2:2" x14ac:dyDescent="0.2">
      <c r="B163" t="str">
        <v>SKU58</v>
      </c>
    </row>
    <row r="164" spans="2:2" x14ac:dyDescent="0.2">
      <c r="B164" t="str">
        <v>SKU59</v>
      </c>
    </row>
    <row r="165" spans="2:2" x14ac:dyDescent="0.2">
      <c r="B165" t="str">
        <v>SKU60</v>
      </c>
    </row>
    <row r="166" spans="2:2" x14ac:dyDescent="0.2">
      <c r="B166" t="str">
        <v>SKU61</v>
      </c>
    </row>
    <row r="167" spans="2:2" x14ac:dyDescent="0.2">
      <c r="B167" t="str">
        <v>SKU62</v>
      </c>
    </row>
    <row r="168" spans="2:2" x14ac:dyDescent="0.2">
      <c r="B168" t="str">
        <v>SKU63</v>
      </c>
    </row>
    <row r="169" spans="2:2" x14ac:dyDescent="0.2">
      <c r="B169" t="str">
        <v>SKU64</v>
      </c>
    </row>
    <row r="170" spans="2:2" x14ac:dyDescent="0.2">
      <c r="B170" t="str">
        <v>SKU65</v>
      </c>
    </row>
    <row r="171" spans="2:2" x14ac:dyDescent="0.2">
      <c r="B171" t="str">
        <v>SKU66</v>
      </c>
    </row>
    <row r="172" spans="2:2" x14ac:dyDescent="0.2">
      <c r="B172" t="str">
        <v>SKU67</v>
      </c>
    </row>
    <row r="173" spans="2:2" x14ac:dyDescent="0.2">
      <c r="B173" t="str">
        <v>SKU68</v>
      </c>
    </row>
    <row r="174" spans="2:2" x14ac:dyDescent="0.2">
      <c r="B174" t="str">
        <v>SKU69</v>
      </c>
    </row>
    <row r="175" spans="2:2" x14ac:dyDescent="0.2">
      <c r="B175" t="str">
        <v>SKU70</v>
      </c>
    </row>
    <row r="176" spans="2:2" x14ac:dyDescent="0.2">
      <c r="B176" t="str">
        <v>SKU71</v>
      </c>
    </row>
    <row r="177" spans="2:2" x14ac:dyDescent="0.2">
      <c r="B177" t="str">
        <v>SKU72</v>
      </c>
    </row>
    <row r="178" spans="2:2" x14ac:dyDescent="0.2">
      <c r="B178" t="str">
        <v>SKU73</v>
      </c>
    </row>
    <row r="179" spans="2:2" x14ac:dyDescent="0.2">
      <c r="B179" t="str">
        <v>SKU74</v>
      </c>
    </row>
    <row r="180" spans="2:2" x14ac:dyDescent="0.2">
      <c r="B180" t="str">
        <v>SKU75</v>
      </c>
    </row>
    <row r="181" spans="2:2" x14ac:dyDescent="0.2">
      <c r="B181" t="str">
        <v>SKU76</v>
      </c>
    </row>
    <row r="182" spans="2:2" x14ac:dyDescent="0.2">
      <c r="B182" t="str">
        <v>SKU77</v>
      </c>
    </row>
    <row r="183" spans="2:2" x14ac:dyDescent="0.2">
      <c r="B183" t="str">
        <v>SKU78</v>
      </c>
    </row>
    <row r="184" spans="2:2" x14ac:dyDescent="0.2">
      <c r="B184" t="str">
        <v>SKU79</v>
      </c>
    </row>
    <row r="185" spans="2:2" x14ac:dyDescent="0.2">
      <c r="B185" t="str">
        <v>SKU80</v>
      </c>
    </row>
    <row r="186" spans="2:2" x14ac:dyDescent="0.2">
      <c r="B186" t="str">
        <v>SKU81</v>
      </c>
    </row>
    <row r="187" spans="2:2" x14ac:dyDescent="0.2">
      <c r="B187" t="str">
        <v>SKU82</v>
      </c>
    </row>
    <row r="188" spans="2:2" x14ac:dyDescent="0.2">
      <c r="B188" t="str">
        <v>SKU83</v>
      </c>
    </row>
    <row r="189" spans="2:2" x14ac:dyDescent="0.2">
      <c r="B189" t="str">
        <v>SKU84</v>
      </c>
    </row>
    <row r="190" spans="2:2" x14ac:dyDescent="0.2">
      <c r="B190" t="str">
        <v>SKU85</v>
      </c>
    </row>
    <row r="191" spans="2:2" x14ac:dyDescent="0.2">
      <c r="B191" t="str">
        <v>SKU86</v>
      </c>
    </row>
    <row r="192" spans="2:2" x14ac:dyDescent="0.2">
      <c r="B192" t="str">
        <v>SKU87</v>
      </c>
    </row>
    <row r="193" spans="2:2" x14ac:dyDescent="0.2">
      <c r="B193" t="str">
        <v>SKU88</v>
      </c>
    </row>
    <row r="194" spans="2:2" x14ac:dyDescent="0.2">
      <c r="B194" t="str">
        <v>SKU89</v>
      </c>
    </row>
    <row r="195" spans="2:2" x14ac:dyDescent="0.2">
      <c r="B195" t="str">
        <v>SKU90</v>
      </c>
    </row>
    <row r="196" spans="2:2" x14ac:dyDescent="0.2">
      <c r="B196" t="str">
        <v>SKU91</v>
      </c>
    </row>
    <row r="197" spans="2:2" x14ac:dyDescent="0.2">
      <c r="B197" t="str">
        <v>SKU92</v>
      </c>
    </row>
    <row r="198" spans="2:2" x14ac:dyDescent="0.2">
      <c r="B198" t="str">
        <v>SKU93</v>
      </c>
    </row>
    <row r="199" spans="2:2" x14ac:dyDescent="0.2">
      <c r="B199" t="str">
        <v>SKU94</v>
      </c>
    </row>
    <row r="200" spans="2:2" x14ac:dyDescent="0.2">
      <c r="B200" t="str">
        <v>SKU95</v>
      </c>
    </row>
    <row r="201" spans="2:2" x14ac:dyDescent="0.2">
      <c r="B201" t="str">
        <v>SKU96</v>
      </c>
    </row>
    <row r="202" spans="2:2" x14ac:dyDescent="0.2">
      <c r="B202" t="str">
        <v>SKU97</v>
      </c>
    </row>
    <row r="203" spans="2:2" x14ac:dyDescent="0.2">
      <c r="B203" t="str">
        <v>SKU98</v>
      </c>
    </row>
    <row r="204" spans="2:2" x14ac:dyDescent="0.2">
      <c r="B204" t="str">
        <v>SKU99</v>
      </c>
    </row>
  </sheetData>
  <dataValidations count="9">
    <dataValidation type="list" allowBlank="1" showInputMessage="1" showErrorMessage="1" sqref="A2" xr:uid="{BABE4B0B-4C7A-4EE5-AA7B-601D2B8568BC}">
      <formula1>$A$105:$A$107</formula1>
    </dataValidation>
    <dataValidation type="list" allowBlank="1" showInputMessage="1" showErrorMessage="1" sqref="B2" xr:uid="{CEA1680E-49DC-45A9-BE3E-EB7D66B3CFD0}">
      <formula1>$B$105:$B$204</formula1>
    </dataValidation>
    <dataValidation type="list" allowBlank="1" showInputMessage="1" showErrorMessage="1" sqref="G2" xr:uid="{9F332AE0-E293-459B-990A-CD1B8D844960}">
      <formula1>$G$104:$G$107</formula1>
    </dataValidation>
    <dataValidation type="list" allowBlank="1" showInputMessage="1" showErrorMessage="1" sqref="L2" xr:uid="{CF99A864-1F08-45B6-95E7-AD2976DF3380}">
      <formula1>$L$103:$L$105</formula1>
    </dataValidation>
    <dataValidation type="list" allowBlank="1" showInputMessage="1" showErrorMessage="1" sqref="N2" xr:uid="{A8766146-2821-4382-A67D-B81E65DA4444}">
      <formula1>$N$107</formula1>
    </dataValidation>
    <dataValidation type="list" allowBlank="1" showInputMessage="1" showErrorMessage="1" sqref="O2" xr:uid="{5FD56625-72DA-4FC6-8D97-661CDAEFE557}">
      <formula1>$O$103:$O$107</formula1>
    </dataValidation>
    <dataValidation type="list" allowBlank="1" showInputMessage="1" showErrorMessage="1" sqref="T2" xr:uid="{DCFC5BEA-EB22-4BB8-95B4-3ACAD4DB1FF4}">
      <formula1>$T$103:$T$105</formula1>
    </dataValidation>
    <dataValidation type="list" allowBlank="1" showInputMessage="1" showErrorMessage="1" sqref="V2" xr:uid="{AE4098AF-4FEB-40E0-9156-0AFF16075431}">
      <formula1>$V$103:$V$106</formula1>
    </dataValidation>
    <dataValidation type="list" allowBlank="1" showInputMessage="1" showErrorMessage="1" sqref="W2" xr:uid="{A860F46A-4F83-46E3-83E8-E33A437BE873}">
      <formula1>$W$103:$W$105</formula1>
    </dataValidation>
  </dataValidations>
  <pageMargins left="0.7" right="0.7" top="0.75" bottom="0.75" header="0.3" footer="0.3"/>
  <pageSetup orientation="portrait" horizontalDpi="200" verticalDpi="200" copies="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1DE5-40BB-4D0B-9E48-172C3D7178DB}">
  <dimension ref="A1"/>
  <sheetViews>
    <sheetView workbookViewId="0">
      <selection activeCell="E23" sqref="E23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09B3-1FE9-4970-A986-D15B77EE5845}">
  <dimension ref="A1"/>
  <sheetViews>
    <sheetView workbookViewId="0">
      <selection activeCell="F19" sqref="F19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9746-4A90-4B4E-A6A6-47A66BEB2A6D}">
  <dimension ref="A1"/>
  <sheetViews>
    <sheetView topLeftCell="A2" workbookViewId="0">
      <selection activeCell="H24" sqref="H24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35B52-7146-4DAB-BB48-A1C3CBB78B76}">
  <dimension ref="A1"/>
  <sheetViews>
    <sheetView workbookViewId="0">
      <selection activeCell="G4" sqref="G4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AD64-C177-4DAD-859E-2F3566832C9A}">
  <dimension ref="B2:F32"/>
  <sheetViews>
    <sheetView workbookViewId="0">
      <selection activeCell="C21" sqref="C21"/>
    </sheetView>
  </sheetViews>
  <sheetFormatPr defaultRowHeight="14.25" x14ac:dyDescent="0.2"/>
  <cols>
    <col min="3" max="3" width="73.375" bestFit="1" customWidth="1"/>
  </cols>
  <sheetData>
    <row r="2" spans="2:6" ht="23.25" x14ac:dyDescent="0.35">
      <c r="C2" s="9" t="s">
        <v>153</v>
      </c>
      <c r="D2" s="9"/>
      <c r="E2" s="9"/>
      <c r="F2" s="9"/>
    </row>
    <row r="3" spans="2:6" x14ac:dyDescent="0.2">
      <c r="B3">
        <v>1</v>
      </c>
      <c r="C3" t="s">
        <v>154</v>
      </c>
    </row>
    <row r="4" spans="2:6" x14ac:dyDescent="0.2">
      <c r="B4">
        <v>2</v>
      </c>
      <c r="C4" t="s">
        <v>155</v>
      </c>
    </row>
    <row r="5" spans="2:6" x14ac:dyDescent="0.2">
      <c r="B5">
        <v>3</v>
      </c>
      <c r="C5" t="s">
        <v>156</v>
      </c>
    </row>
    <row r="6" spans="2:6" x14ac:dyDescent="0.2">
      <c r="B6">
        <v>4</v>
      </c>
      <c r="C6" t="s">
        <v>157</v>
      </c>
    </row>
    <row r="7" spans="2:6" x14ac:dyDescent="0.2">
      <c r="B7">
        <v>5</v>
      </c>
      <c r="C7" t="s">
        <v>158</v>
      </c>
    </row>
    <row r="8" spans="2:6" x14ac:dyDescent="0.2">
      <c r="B8">
        <v>6</v>
      </c>
      <c r="C8" t="s">
        <v>159</v>
      </c>
    </row>
    <row r="9" spans="2:6" x14ac:dyDescent="0.2">
      <c r="B9">
        <v>7</v>
      </c>
      <c r="C9" t="s">
        <v>160</v>
      </c>
    </row>
    <row r="10" spans="2:6" x14ac:dyDescent="0.2">
      <c r="B10">
        <v>8</v>
      </c>
      <c r="C10" t="s">
        <v>161</v>
      </c>
    </row>
    <row r="11" spans="2:6" x14ac:dyDescent="0.2">
      <c r="B11">
        <v>9</v>
      </c>
      <c r="C11" t="s">
        <v>162</v>
      </c>
    </row>
    <row r="12" spans="2:6" x14ac:dyDescent="0.2">
      <c r="B12">
        <v>10</v>
      </c>
      <c r="C12" t="s">
        <v>163</v>
      </c>
    </row>
    <row r="13" spans="2:6" x14ac:dyDescent="0.2">
      <c r="B13">
        <v>11</v>
      </c>
      <c r="C13" t="s">
        <v>164</v>
      </c>
    </row>
    <row r="14" spans="2:6" x14ac:dyDescent="0.2">
      <c r="B14">
        <v>12</v>
      </c>
      <c r="C14" t="s">
        <v>165</v>
      </c>
    </row>
    <row r="15" spans="2:6" x14ac:dyDescent="0.2">
      <c r="B15">
        <v>13</v>
      </c>
      <c r="C15" t="s">
        <v>166</v>
      </c>
    </row>
    <row r="16" spans="2:6" x14ac:dyDescent="0.2">
      <c r="B16">
        <v>14</v>
      </c>
      <c r="C16" t="s">
        <v>167</v>
      </c>
    </row>
    <row r="17" spans="2:3" x14ac:dyDescent="0.2">
      <c r="B17">
        <v>15</v>
      </c>
      <c r="C17" t="s">
        <v>168</v>
      </c>
    </row>
    <row r="18" spans="2:3" x14ac:dyDescent="0.2">
      <c r="B18">
        <v>16</v>
      </c>
      <c r="C18" t="s">
        <v>169</v>
      </c>
    </row>
    <row r="19" spans="2:3" x14ac:dyDescent="0.2">
      <c r="B19">
        <v>17</v>
      </c>
      <c r="C19" t="s">
        <v>170</v>
      </c>
    </row>
    <row r="20" spans="2:3" x14ac:dyDescent="0.2">
      <c r="B20">
        <v>18</v>
      </c>
      <c r="C20" t="s">
        <v>171</v>
      </c>
    </row>
    <row r="21" spans="2:3" x14ac:dyDescent="0.2">
      <c r="B21">
        <v>19</v>
      </c>
      <c r="C21" t="s">
        <v>172</v>
      </c>
    </row>
    <row r="22" spans="2:3" x14ac:dyDescent="0.2">
      <c r="B22">
        <v>20</v>
      </c>
      <c r="C22" t="s">
        <v>173</v>
      </c>
    </row>
    <row r="23" spans="2:3" x14ac:dyDescent="0.2">
      <c r="B23">
        <v>21</v>
      </c>
      <c r="C23" t="s">
        <v>174</v>
      </c>
    </row>
    <row r="24" spans="2:3" x14ac:dyDescent="0.2">
      <c r="B24">
        <v>22</v>
      </c>
      <c r="C24" t="s">
        <v>175</v>
      </c>
    </row>
    <row r="25" spans="2:3" x14ac:dyDescent="0.2">
      <c r="B25">
        <v>23</v>
      </c>
      <c r="C25" t="s">
        <v>176</v>
      </c>
    </row>
    <row r="26" spans="2:3" x14ac:dyDescent="0.2">
      <c r="B26">
        <v>24</v>
      </c>
      <c r="C26" t="s">
        <v>177</v>
      </c>
    </row>
    <row r="27" spans="2:3" x14ac:dyDescent="0.2">
      <c r="B27">
        <v>25</v>
      </c>
      <c r="C27" t="s">
        <v>178</v>
      </c>
    </row>
    <row r="28" spans="2:3" x14ac:dyDescent="0.2">
      <c r="B28">
        <v>26</v>
      </c>
      <c r="C28" t="s">
        <v>179</v>
      </c>
    </row>
    <row r="29" spans="2:3" x14ac:dyDescent="0.2">
      <c r="B29">
        <v>27</v>
      </c>
      <c r="C29" t="s">
        <v>180</v>
      </c>
    </row>
    <row r="30" spans="2:3" x14ac:dyDescent="0.2">
      <c r="B30">
        <v>28</v>
      </c>
      <c r="C30" t="s">
        <v>181</v>
      </c>
    </row>
    <row r="31" spans="2:3" x14ac:dyDescent="0.2">
      <c r="B31">
        <v>29</v>
      </c>
      <c r="C31" t="s">
        <v>182</v>
      </c>
    </row>
    <row r="32" spans="2:3" x14ac:dyDescent="0.2">
      <c r="B32">
        <v>30</v>
      </c>
      <c r="C32" t="s">
        <v>183</v>
      </c>
    </row>
  </sheetData>
  <mergeCells count="1">
    <mergeCell ref="C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41E35-ED11-42CD-BD24-FAC28B44E6E3}">
  <dimension ref="A1:I28"/>
  <sheetViews>
    <sheetView topLeftCell="B1" workbookViewId="0">
      <selection activeCell="G11" sqref="G11"/>
    </sheetView>
  </sheetViews>
  <sheetFormatPr defaultRowHeight="14.25" x14ac:dyDescent="0.2"/>
  <cols>
    <col min="1" max="1" width="32.25" bestFit="1" customWidth="1"/>
    <col min="3" max="3" width="23.25" bestFit="1" customWidth="1"/>
    <col min="4" max="4" width="21.875" bestFit="1" customWidth="1"/>
    <col min="6" max="6" width="31.125" bestFit="1" customWidth="1"/>
    <col min="8" max="8" width="29.5" bestFit="1" customWidth="1"/>
  </cols>
  <sheetData>
    <row r="1" spans="1:9" ht="15.75" x14ac:dyDescent="0.25">
      <c r="F1" s="10" t="s">
        <v>236</v>
      </c>
      <c r="G1" s="11"/>
    </row>
    <row r="2" spans="1:9" x14ac:dyDescent="0.2">
      <c r="F2" s="11" t="s">
        <v>237</v>
      </c>
      <c r="G2" s="11"/>
    </row>
    <row r="3" spans="1:9" ht="15.75" x14ac:dyDescent="0.25">
      <c r="A3" s="10" t="s">
        <v>187</v>
      </c>
      <c r="B3" s="10"/>
      <c r="C3" s="10"/>
      <c r="F3" t="s">
        <v>234</v>
      </c>
      <c r="G3">
        <f>SUM(supply_chain_data[Revenue generated])</f>
        <v>577604.85999999987</v>
      </c>
      <c r="H3" t="s">
        <v>241</v>
      </c>
      <c r="I3" s="6">
        <f>SUMIF(supply_chain_data[Product type],supply_chain!A2,supply_chain_data[Revenue generated]) / SUM(supply_chain_data[Revenue generated])</f>
        <v>0.30203246558555624</v>
      </c>
    </row>
    <row r="4" spans="1:9" x14ac:dyDescent="0.2">
      <c r="A4" t="s">
        <v>188</v>
      </c>
      <c r="B4">
        <f>AVERAGE(supply_chain_data[Lead time])</f>
        <v>17.079999999999998</v>
      </c>
      <c r="C4" t="s">
        <v>203</v>
      </c>
      <c r="D4">
        <f>'Descriptive statistics'!B4 / 'Descriptive statistics'!B5</f>
        <v>1.9538395486096625</v>
      </c>
      <c r="F4" t="s">
        <v>235</v>
      </c>
      <c r="G4">
        <f>SUM(supply_chain_data[Number of products sold])</f>
        <v>46099</v>
      </c>
      <c r="H4" t="s">
        <v>242</v>
      </c>
      <c r="I4" s="6">
        <f>SUMIF(supply_chain_data[Customer demographics],supply_chain!G2,supply_chain_data[Revenue generated]) / SUM(supply_chain_data[Revenue generated])</f>
        <v>0.20146265736060465</v>
      </c>
    </row>
    <row r="5" spans="1:9" x14ac:dyDescent="0.2">
      <c r="A5" t="s">
        <v>189</v>
      </c>
      <c r="B5">
        <f>_xlfn.STDEV.P(supply_chain_data[Lead times])</f>
        <v>8.7417618361517953</v>
      </c>
      <c r="C5" t="s">
        <v>209</v>
      </c>
      <c r="D5">
        <f>COUNTA(_xlfn.UNIQUE(supply_chain_data[Supplier name]))</f>
        <v>5</v>
      </c>
      <c r="F5" t="s">
        <v>238</v>
      </c>
      <c r="G5" s="6">
        <f>SUM(supply_chain_data[Number of products sold]) / SUM(supply_chain_data[Revenue generated])</f>
        <v>7.981061655194524E-2</v>
      </c>
    </row>
    <row r="6" spans="1:9" x14ac:dyDescent="0.2">
      <c r="A6" t="s">
        <v>192</v>
      </c>
      <c r="B6">
        <f>MAX(supply_chain_data[Lead times])-MIN(supply_chain_data[Lead times])</f>
        <v>29</v>
      </c>
      <c r="F6" s="11" t="s">
        <v>239</v>
      </c>
      <c r="G6" s="11"/>
    </row>
    <row r="7" spans="1:9" x14ac:dyDescent="0.2">
      <c r="A7" t="s">
        <v>206</v>
      </c>
      <c r="B7">
        <f>_xlfn.QUARTILE.INC(supply_chain_data[Lead time],3)-_xlfn.QUARTILE.INC(supply_chain_data[Lead time],1)</f>
        <v>15</v>
      </c>
      <c r="F7" t="s">
        <v>240</v>
      </c>
      <c r="G7">
        <f>AVERAGE(supply_chain_data[Stock levels])</f>
        <v>47.77</v>
      </c>
    </row>
    <row r="8" spans="1:9" x14ac:dyDescent="0.2">
      <c r="A8" t="s">
        <v>193</v>
      </c>
      <c r="B8">
        <f>_xlfn.PERCENTILE.INC(supply_chain_data[Lead times],0.9)</f>
        <v>27</v>
      </c>
      <c r="F8" t="s">
        <v>260</v>
      </c>
      <c r="G8">
        <f>COUNTIF(supply_chain!Y2:Y100,"&lt;1")/COUNTA(supply_chain_data[SKU])</f>
        <v>0.05</v>
      </c>
    </row>
    <row r="9" spans="1:9" ht="15.75" x14ac:dyDescent="0.25">
      <c r="A9" s="10" t="s">
        <v>191</v>
      </c>
      <c r="B9" s="10"/>
      <c r="C9" s="10"/>
      <c r="F9" t="s">
        <v>261</v>
      </c>
      <c r="G9">
        <f>SUM(supply_chain_data[Stock levels])</f>
        <v>4777</v>
      </c>
    </row>
    <row r="10" spans="1:9" x14ac:dyDescent="0.2">
      <c r="A10" s="2" t="s">
        <v>194</v>
      </c>
      <c r="B10">
        <f>_xlfn.QUARTILE.INC(supply_chain_data[Shipping costs],1)</f>
        <v>3.5425</v>
      </c>
      <c r="C10" t="s">
        <v>205</v>
      </c>
      <c r="D10">
        <f>TRIMMEAN(supply_chain_data[Shipping costs],0.1)</f>
        <v>5.5551111111111116</v>
      </c>
      <c r="F10" t="s">
        <v>262</v>
      </c>
      <c r="G10" s="6">
        <f>SUM(supply_chain_data[Number of products sold]) / AVERAGE(supply_chain_data[Stock levels])</f>
        <v>965.019886958342</v>
      </c>
    </row>
    <row r="11" spans="1:9" x14ac:dyDescent="0.2">
      <c r="A11" s="2" t="s">
        <v>195</v>
      </c>
      <c r="B11">
        <f>_xlfn.QUARTILE.INC(supply_chain_data[Shipping costs],3)</f>
        <v>7.6025</v>
      </c>
      <c r="C11" t="s">
        <v>207</v>
      </c>
      <c r="D11">
        <f>SKEW(supply_chain_data[Shipping costs])</f>
        <v>-5.3796620117344707E-2</v>
      </c>
    </row>
    <row r="12" spans="1:9" x14ac:dyDescent="0.2">
      <c r="A12" s="2" t="s">
        <v>196</v>
      </c>
      <c r="B12">
        <f>B11-B10</f>
        <v>4.0600000000000005</v>
      </c>
      <c r="C12" t="s">
        <v>208</v>
      </c>
      <c r="D12">
        <f>KURT(supply_chain_data[Lead time])</f>
        <v>-1.1745172726494923</v>
      </c>
      <c r="F12" s="11" t="s">
        <v>243</v>
      </c>
      <c r="G12" s="11"/>
    </row>
    <row r="13" spans="1:9" x14ac:dyDescent="0.2">
      <c r="A13" s="2" t="s">
        <v>197</v>
      </c>
      <c r="B13">
        <f>B10-1.5*B12</f>
        <v>-2.5475000000000008</v>
      </c>
      <c r="F13" s="6" t="s">
        <v>244</v>
      </c>
      <c r="G13" s="6">
        <f>AVERAGEIF(supply_chain_data[Supplier name],supply_chain!N2,supply_chain_data[Lead time])</f>
        <v>20.133333333333333</v>
      </c>
    </row>
    <row r="14" spans="1:9" x14ac:dyDescent="0.2">
      <c r="A14" s="2" t="s">
        <v>198</v>
      </c>
      <c r="B14">
        <f>B11+1.5*B12</f>
        <v>13.692500000000001</v>
      </c>
      <c r="F14" t="s">
        <v>245</v>
      </c>
      <c r="G14" s="5">
        <f>SUM(supply_chain_data[Manufacturing costs]) / SUM(supply_chain_data[Production volumes])</f>
        <v>8.3238940546632931E-2</v>
      </c>
    </row>
    <row r="15" spans="1:9" x14ac:dyDescent="0.2">
      <c r="A15" s="2" t="s">
        <v>199</v>
      </c>
      <c r="B15">
        <f>CORREL(supply_chain_data[Lead time],supply_chain_data[Shipping costs])</f>
        <v>2.9793587756953375E-2</v>
      </c>
      <c r="C15" t="s">
        <v>227</v>
      </c>
      <c r="D15">
        <f>COUNTIF(supply_chain_data[Inspection results], "Fail") / COUNTA(supply_chain_data[Inspection results])</f>
        <v>0.36</v>
      </c>
      <c r="F15" t="s">
        <v>246</v>
      </c>
      <c r="G15" s="6">
        <f>SUMIF(supply_chain_data[Supplier name],supply_chain!N2,supply_chain_data[Production volumes]) / SUM(supply_chain_data[Production volumes])</f>
        <v>0.14083192448577064</v>
      </c>
    </row>
    <row r="16" spans="1:9" x14ac:dyDescent="0.2">
      <c r="A16" s="2"/>
      <c r="F16" t="s">
        <v>259</v>
      </c>
      <c r="G16" s="6">
        <f>COUNTIF(supply_chain_data[Lead time], "&lt;"&amp;AVERAGE(supply_chain_data[Lead time])) / COUNT(supply_chain_data[Lead time])</f>
        <v>0.43</v>
      </c>
    </row>
    <row r="17" spans="1:7" x14ac:dyDescent="0.2">
      <c r="A17" t="s">
        <v>190</v>
      </c>
      <c r="B17">
        <f>MEDIAN(supply_chain_data[Shipping costs])</f>
        <v>5.32</v>
      </c>
      <c r="F17" s="11" t="s">
        <v>247</v>
      </c>
      <c r="G17" s="11"/>
    </row>
    <row r="18" spans="1:7" ht="15.75" x14ac:dyDescent="0.25">
      <c r="A18" s="10" t="s">
        <v>184</v>
      </c>
      <c r="B18" s="10"/>
      <c r="C18" s="10"/>
      <c r="F18" t="s">
        <v>248</v>
      </c>
      <c r="G18" s="6">
        <f>AVERAGE(supply_chain_data[Shipping costs])</f>
        <v>5.5481999999999996</v>
      </c>
    </row>
    <row r="19" spans="1:7" x14ac:dyDescent="0.2">
      <c r="A19" t="s">
        <v>185</v>
      </c>
      <c r="B19">
        <f>MIN(supply_chain_data[Stock levels])</f>
        <v>0</v>
      </c>
      <c r="F19" t="s">
        <v>249</v>
      </c>
      <c r="G19" s="6">
        <f>SUM(supply_chain_data[Shipping costs]) /  SUM(supply_chain_data[Number of products sold])</f>
        <v>1.2035402069459206E-2</v>
      </c>
    </row>
    <row r="20" spans="1:7" x14ac:dyDescent="0.2">
      <c r="A20" t="s">
        <v>186</v>
      </c>
      <c r="B20">
        <f>MAX(supply_chain_data[Stock levels])</f>
        <v>100</v>
      </c>
      <c r="F20" t="s">
        <v>250</v>
      </c>
      <c r="G20">
        <f>AVERAGE(supply_chain_data[Shipping times])</f>
        <v>5.75</v>
      </c>
    </row>
    <row r="21" spans="1:7" ht="15.75" x14ac:dyDescent="0.25">
      <c r="A21" s="10" t="s">
        <v>200</v>
      </c>
      <c r="B21" s="10"/>
      <c r="C21" s="10"/>
      <c r="F21" t="s">
        <v>251</v>
      </c>
      <c r="G21">
        <f>SUMIFS(supply_chain_data[Shipping costs],supply_chain_data[Transportation modes],supply_chain!V2)</f>
        <v>160.72999999999999</v>
      </c>
    </row>
    <row r="22" spans="1:7" x14ac:dyDescent="0.2">
      <c r="A22" t="s">
        <v>201</v>
      </c>
      <c r="B22">
        <f>_xlfn.VAR.P(supply_chain_data[Manufacturing costs])</f>
        <v>831.60139703999641</v>
      </c>
      <c r="F22" t="s">
        <v>252</v>
      </c>
      <c r="G22" s="5">
        <f>_xlfn.STDEV.P(supply_chain_data[Lead time])</f>
        <v>8.8019088838728621</v>
      </c>
    </row>
    <row r="23" spans="1:7" x14ac:dyDescent="0.2">
      <c r="A23" t="s">
        <v>204</v>
      </c>
      <c r="F23" s="11" t="s">
        <v>253</v>
      </c>
      <c r="G23" s="11"/>
    </row>
    <row r="24" spans="1:7" x14ac:dyDescent="0.2">
      <c r="A24" t="s">
        <v>202</v>
      </c>
      <c r="B24">
        <f>AVERAGEIFS(supply_chain_data[Lead time],supply_chain_data[Supplier name],supply_chain!N86)</f>
        <v>18.055555555555557</v>
      </c>
      <c r="F24" t="s">
        <v>254</v>
      </c>
      <c r="G24">
        <f>SUM(supply_chain_data[costs])</f>
        <v>52924.569999999978</v>
      </c>
    </row>
    <row r="25" spans="1:7" x14ac:dyDescent="0.2">
      <c r="F25" t="s">
        <v>255</v>
      </c>
      <c r="G25">
        <f>SUMIFS(supply_chain_data[costs],supply_chain_data[SKU],supply_chain!B2)</f>
        <v>187.75</v>
      </c>
    </row>
    <row r="26" spans="1:7" ht="15.75" x14ac:dyDescent="0.25">
      <c r="A26" s="10"/>
      <c r="B26" s="10"/>
      <c r="C26" s="10"/>
      <c r="F26" t="s">
        <v>256</v>
      </c>
      <c r="G26" s="6">
        <f>AVERAGE(supply_chain_data[Defect rates])</f>
        <v>2.2770999999999999</v>
      </c>
    </row>
    <row r="27" spans="1:7" x14ac:dyDescent="0.2">
      <c r="F27" t="s">
        <v>257</v>
      </c>
      <c r="G27" s="6">
        <f>AVERAGEIFS(supply_chain_data[Revenue generated],supply_chain_data[Lead times],"&gt;"&amp;AVERAGEA(supply_chain_data[Lead times]))</f>
        <v>5593.8424074074073</v>
      </c>
    </row>
    <row r="28" spans="1:7" x14ac:dyDescent="0.2">
      <c r="F28" t="s">
        <v>258</v>
      </c>
      <c r="G28">
        <f>COUNTIF(supply_chain_data[Inspection results],"Pass") / COUNTA(supply_chain_data[Inspection results])</f>
        <v>0.23</v>
      </c>
    </row>
  </sheetData>
  <mergeCells count="11">
    <mergeCell ref="F1:G1"/>
    <mergeCell ref="F2:G2"/>
    <mergeCell ref="A3:C3"/>
    <mergeCell ref="A9:C9"/>
    <mergeCell ref="A18:C18"/>
    <mergeCell ref="A21:C21"/>
    <mergeCell ref="A26:C26"/>
    <mergeCell ref="F6:G6"/>
    <mergeCell ref="F12:G12"/>
    <mergeCell ref="F17:G17"/>
    <mergeCell ref="F23:G23"/>
  </mergeCells>
  <pageMargins left="0.7" right="0.7" top="0.75" bottom="0.75" header="0.3" footer="0.3"/>
  <pageSetup orientation="portrait" horizontalDpi="200" verticalDpi="200" copies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F765-552D-4CD0-9C04-F2229670C989}">
  <dimension ref="A1:V29"/>
  <sheetViews>
    <sheetView zoomScale="85" zoomScaleNormal="85" workbookViewId="0"/>
  </sheetViews>
  <sheetFormatPr defaultRowHeight="14.25" x14ac:dyDescent="0.2"/>
  <sheetData>
    <row r="1" spans="1:22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</sheetData>
  <pageMargins left="0.7" right="0.7" top="0.75" bottom="0.75" header="0.3" footer="0.3"/>
  <pageSetup orientation="portrait" horizontalDpi="200" verticalDpi="200" copies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D64F-27C8-458B-B254-1F55E22A3EDE}">
  <dimension ref="A1:V29"/>
  <sheetViews>
    <sheetView zoomScale="85" zoomScaleNormal="85" workbookViewId="0"/>
  </sheetViews>
  <sheetFormatPr defaultRowHeight="14.25" x14ac:dyDescent="0.2"/>
  <sheetData>
    <row r="1" spans="1:22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095F4-ECFE-4389-836B-37CAF539D34B}">
  <dimension ref="A1:V29"/>
  <sheetViews>
    <sheetView zoomScale="85" zoomScaleNormal="85" workbookViewId="0"/>
  </sheetViews>
  <sheetFormatPr defaultRowHeight="14.25" x14ac:dyDescent="0.2"/>
  <sheetData>
    <row r="1" spans="1:22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</sheetData>
  <pageMargins left="0.7" right="0.7" top="0.75" bottom="0.75" header="0.3" footer="0.3"/>
  <pageSetup orientation="portrait" horizontalDpi="200" verticalDpi="200" copies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1E573-C995-4455-AF12-3EB4049A48BE}">
  <dimension ref="A1:V29"/>
  <sheetViews>
    <sheetView zoomScale="85" zoomScaleNormal="85" workbookViewId="0"/>
  </sheetViews>
  <sheetFormatPr defaultRowHeight="14.25" x14ac:dyDescent="0.2"/>
  <sheetData>
    <row r="1" spans="1:22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</sheetData>
  <pageMargins left="0.7" right="0.7" top="0.75" bottom="0.75" header="0.3" footer="0.3"/>
  <pageSetup orientation="portrait" horizontalDpi="200" verticalDpi="200" copies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73400-0DF8-4B79-AE47-8DC0638C925D}">
  <dimension ref="A1:V29"/>
  <sheetViews>
    <sheetView tabSelected="1" zoomScale="85" zoomScaleNormal="85" workbookViewId="0"/>
  </sheetViews>
  <sheetFormatPr defaultRowHeight="14.25" x14ac:dyDescent="0.2"/>
  <sheetData>
    <row r="1" spans="1:22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spans="1:22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</row>
    <row r="5" spans="1:22" x14ac:dyDescent="0.2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x14ac:dyDescent="0.2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</row>
    <row r="10" spans="1:22" x14ac:dyDescent="0.2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spans="1:22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</row>
    <row r="12" spans="1:22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</row>
    <row r="13" spans="1:22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</row>
    <row r="14" spans="1:22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</row>
    <row r="16" spans="1:22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</row>
    <row r="17" spans="1:22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spans="1:22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spans="1:22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spans="1:22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spans="1:22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spans="1:22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spans="1:22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spans="1:22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spans="1:22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spans="1:22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</row>
    <row r="27" spans="1:22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spans="1:22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</row>
    <row r="29" spans="1:22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6F12AA-A22F-4E03-927A-01A7E0D6C3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Revenue Distribution by Product</vt:lpstr>
      <vt:lpstr>Sales Volume by SKU</vt:lpstr>
      <vt:lpstr>Average Price by Product Type</vt:lpstr>
      <vt:lpstr>Impact of Price on Products Sol</vt:lpstr>
      <vt:lpstr>Products Sold by Customer Demog</vt:lpstr>
      <vt:lpstr>Inventory Turnover Analysis by </vt:lpstr>
      <vt:lpstr>Stock Levels by SKU</vt:lpstr>
      <vt:lpstr>Revenue Distribution by Custome</vt:lpstr>
      <vt:lpstr>Average Lead Time by Supplier</vt:lpstr>
      <vt:lpstr>Production Volume by Supplier</vt:lpstr>
      <vt:lpstr>Costs by SKU</vt:lpstr>
      <vt:lpstr>Shipping Costs per Transportati</vt:lpstr>
      <vt:lpstr>Impact of Route on Shipping Tim</vt:lpstr>
      <vt:lpstr>Supplier Costs and Lead Time Ov</vt:lpstr>
      <vt:lpstr>supply_chain</vt:lpstr>
      <vt:lpstr>Revenue vs. Lead Time by SKU</vt:lpstr>
      <vt:lpstr>Shipping Costs and Times by Car</vt:lpstr>
      <vt:lpstr>Total Cost vs. Defect Rates</vt:lpstr>
      <vt:lpstr>Shipping and Lead Time Analysis</vt:lpstr>
      <vt:lpstr>Business question</vt:lpstr>
      <vt:lpstr>Descriptive statistics</vt:lpstr>
      <vt:lpstr>Sales &amp; Revenue Performance</vt:lpstr>
      <vt:lpstr>Inventory &amp; Demand Efficiency</vt:lpstr>
      <vt:lpstr>Supplier &amp; manufacturing perfor</vt:lpstr>
      <vt:lpstr>Logistic &amp; Transportation</vt:lpstr>
      <vt:lpstr>Cost, Quality &amp; Risk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ابراهيم البحراوي</dc:creator>
  <cp:lastModifiedBy>ابراهيم البحراوي</cp:lastModifiedBy>
  <dcterms:created xsi:type="dcterms:W3CDTF">2025-12-14T21:02:38Z</dcterms:created>
  <dcterms:modified xsi:type="dcterms:W3CDTF">2025-12-16T16:03:53Z</dcterms:modified>
</cp:coreProperties>
</file>